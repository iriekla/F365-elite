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K5_GenStrength_Blk1" sheetId="1" r:id="rId5"/>
    <sheet state="visible" name="WK6_GenStrength_Blk1" sheetId="2" r:id="rId6"/>
    <sheet state="visible" name="Copy of WK7_GenStrength_Blk1" sheetId="3" r:id="rId7"/>
    <sheet state="visible" name="Copy of WK8_GenStrength_Blk1-DE" sheetId="4" r:id="rId8"/>
  </sheets>
  <definedNames/>
  <calcPr/>
</workbook>
</file>

<file path=xl/sharedStrings.xml><?xml version="1.0" encoding="utf-8"?>
<sst xmlns="http://schemas.openxmlformats.org/spreadsheetml/2006/main" count="573" uniqueCount="72">
  <si>
    <t>Day 1</t>
  </si>
  <si>
    <t>Week 5</t>
  </si>
  <si>
    <t>vbbnxb</t>
  </si>
  <si>
    <t>Day 2</t>
  </si>
  <si>
    <t>Day 3</t>
  </si>
  <si>
    <t>Reps</t>
  </si>
  <si>
    <t>Load</t>
  </si>
  <si>
    <t>Sets</t>
  </si>
  <si>
    <t>Notes</t>
  </si>
  <si>
    <t>Back Squat</t>
  </si>
  <si>
    <t>-</t>
  </si>
  <si>
    <t>Bench Press</t>
  </si>
  <si>
    <t>Hex Deadlift</t>
  </si>
  <si>
    <t xml:space="preserve">or </t>
  </si>
  <si>
    <t>pair w/</t>
  </si>
  <si>
    <t>(see below)</t>
  </si>
  <si>
    <t>Jump Squat</t>
  </si>
  <si>
    <t>Bodyweight</t>
  </si>
  <si>
    <t>MB Pass</t>
  </si>
  <si>
    <t>8-12</t>
  </si>
  <si>
    <t>Tuck Jumps</t>
  </si>
  <si>
    <t>DB Bench Press</t>
  </si>
  <si>
    <t>Front Squat</t>
  </si>
  <si>
    <t>Close Grip Bench</t>
  </si>
  <si>
    <t>Lat Pull Down</t>
  </si>
  <si>
    <t>SL Calf Raises</t>
  </si>
  <si>
    <t>25-45</t>
  </si>
  <si>
    <t>bent knee</t>
  </si>
  <si>
    <t>Dynamic Lat Pull</t>
  </si>
  <si>
    <t>Full Bench Curl-Up</t>
  </si>
  <si>
    <t>Rear Deltoid</t>
  </si>
  <si>
    <t>Gopher U-Abs</t>
  </si>
  <si>
    <t>Step-Up</t>
  </si>
  <si>
    <t>DB Incline Press</t>
  </si>
  <si>
    <t>DB Walking Lunge</t>
  </si>
  <si>
    <t>DB RDL</t>
  </si>
  <si>
    <t>Alt DB Shoulder Press</t>
  </si>
  <si>
    <t>In-Line RDL</t>
  </si>
  <si>
    <t>MB Twist</t>
  </si>
  <si>
    <t>15-25</t>
  </si>
  <si>
    <t>Prone Forearm Bridge</t>
  </si>
  <si>
    <t>T-60</t>
  </si>
  <si>
    <t>Cobras</t>
  </si>
  <si>
    <t>DB Row</t>
  </si>
  <si>
    <t>PB Leg Curl</t>
  </si>
  <si>
    <t>Barbell BO Row</t>
  </si>
  <si>
    <t>Manual Clams</t>
  </si>
  <si>
    <t>Manual</t>
  </si>
  <si>
    <t>Sup-Pro Tri Ext</t>
  </si>
  <si>
    <t>Manual Leg Adduction</t>
  </si>
  <si>
    <t>DB Curl to Arnold</t>
  </si>
  <si>
    <t>Supermans</t>
  </si>
  <si>
    <t>*Hex DL Alternate</t>
  </si>
  <si>
    <t>Single Leg Squat</t>
  </si>
  <si>
    <t>Recovery</t>
  </si>
  <si>
    <t>Foam Roller</t>
  </si>
  <si>
    <t>T-30</t>
  </si>
  <si>
    <t>Isometric Chest Hold</t>
  </si>
  <si>
    <t>Lying Wall Leg Shakes</t>
  </si>
  <si>
    <t>Hang Twist</t>
  </si>
  <si>
    <t>Program Designed by Kyle Ochsner, MS, ATC, SCCC</t>
  </si>
  <si>
    <t>Week 6</t>
  </si>
  <si>
    <t>Week 7</t>
  </si>
  <si>
    <t>1+</t>
  </si>
  <si>
    <t>reps to</t>
  </si>
  <si>
    <t>Reps completed:</t>
  </si>
  <si>
    <t>fatigue</t>
  </si>
  <si>
    <t xml:space="preserve">Perform as many reps as possible on last set </t>
  </si>
  <si>
    <t>Record number of reps achieved in yellow box.</t>
  </si>
  <si>
    <t>Week 8</t>
  </si>
  <si>
    <t>DELOAD</t>
  </si>
  <si>
    <t>Choose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</si>
</sst>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[Color48][&lt;2]0%;[Black]0"/>
  </numFmts>
  <fonts count="21">
    <font>
      <sz val="10.0"/>
      <color rgb="FF000000"/>
      <name val="Arial"/>
      <scheme val="minor"/>
    </font>
    <font>
      <b/>
      <sz val="9.0"/>
      <color theme="1"/>
      <name val="Arial"/>
    </font>
    <font/>
    <font>
      <sz val="9.0"/>
      <color theme="1"/>
      <name val="Arial"/>
    </font>
    <font>
      <sz val="9.0"/>
      <color theme="0"/>
      <name val="Arial"/>
    </font>
    <font>
      <sz val="9.0"/>
      <color theme="1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sz val="9.0"/>
      <color rgb="FF800080"/>
      <name val="Arial"/>
    </font>
    <font>
      <u/>
      <sz val="10.0"/>
      <color rgb="FF0000FF"/>
      <name val="Arial"/>
    </font>
    <font>
      <b/>
      <sz val="9.0"/>
      <color rgb="FF000080"/>
      <name val="Arial"/>
    </font>
    <font>
      <sz val="10.0"/>
      <color theme="1"/>
      <name val="Arial"/>
    </font>
    <font>
      <u/>
      <sz val="10.0"/>
      <color rgb="FF0000FF"/>
      <name val="Arial"/>
    </font>
    <font>
      <sz val="9.0"/>
      <color rgb="FFFF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9.0"/>
      <color rgb="FF008000"/>
      <name val="Arial"/>
    </font>
    <font>
      <sz val="9.0"/>
      <color rgb="FFFF00FF"/>
      <name val="Arial"/>
    </font>
    <font>
      <b/>
      <u/>
      <sz val="10.0"/>
      <color rgb="FFE36C09"/>
      <name val="Arial"/>
    </font>
    <font>
      <b/>
      <sz val="10.0"/>
      <color rgb="FF17365D"/>
      <name val="Arial"/>
    </font>
    <font>
      <b/>
      <sz val="9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41">
    <border/>
    <border>
      <left style="medium">
        <color rgb="FF800000"/>
      </left>
      <top style="medium">
        <color rgb="FF800000"/>
      </top>
    </border>
    <border>
      <right style="medium">
        <color rgb="FF800000"/>
      </right>
      <top style="medium">
        <color rgb="FF800000"/>
      </top>
    </border>
    <border>
      <left style="medium">
        <color rgb="FF800000"/>
      </left>
      <top style="medium">
        <color rgb="FF800000"/>
      </top>
      <bottom style="medium">
        <color rgb="FF800000"/>
      </bottom>
    </border>
    <border>
      <top style="medium">
        <color rgb="FF800000"/>
      </top>
      <bottom style="medium">
        <color rgb="FF800000"/>
      </bottom>
    </border>
    <border>
      <right style="medium">
        <color rgb="FF800000"/>
      </right>
      <top style="medium">
        <color rgb="FF800000"/>
      </top>
      <bottom style="medium">
        <color rgb="FF800000"/>
      </bottom>
    </border>
    <border>
      <left style="medium">
        <color rgb="FF800000"/>
      </left>
      <bottom style="medium">
        <color rgb="FF800000"/>
      </bottom>
    </border>
    <border>
      <right style="medium">
        <color rgb="FF800000"/>
      </right>
      <bottom style="medium">
        <color rgb="FF800000"/>
      </bottom>
    </border>
    <border>
      <left style="medium">
        <color rgb="FF800000"/>
      </left>
      <top style="medium">
        <color rgb="FF800000"/>
      </top>
      <bottom style="hair">
        <color rgb="FF800000"/>
      </bottom>
    </border>
    <border>
      <right style="medium">
        <color rgb="FF800000"/>
      </right>
      <top style="medium">
        <color rgb="FF800000"/>
      </top>
      <bottom style="hair">
        <color rgb="FF800000"/>
      </bottom>
    </border>
    <border>
      <left style="medium">
        <color rgb="FF800000"/>
      </left>
      <right style="hair">
        <color rgb="FF800000"/>
      </right>
      <top style="medium">
        <color rgb="FF800000"/>
      </top>
      <bottom style="hair">
        <color rgb="FF800000"/>
      </bottom>
    </border>
    <border>
      <top style="medium">
        <color rgb="FF800000"/>
      </top>
      <bottom style="hair">
        <color rgb="FF800000"/>
      </bottom>
    </border>
    <border>
      <left/>
      <right/>
      <top style="medium">
        <color rgb="FF800000"/>
      </top>
      <bottom style="hair">
        <color rgb="FF800000"/>
      </bottom>
    </border>
    <border>
      <right style="hair">
        <color rgb="FF800000"/>
      </right>
      <top style="medium">
        <color rgb="FF800000"/>
      </top>
      <bottom style="hair">
        <color rgb="FF800000"/>
      </bottom>
    </border>
    <border>
      <left style="hair">
        <color rgb="FF800000"/>
      </left>
      <top style="medium">
        <color rgb="FF800000"/>
      </top>
      <bottom style="hair">
        <color rgb="FF800000"/>
      </bottom>
    </border>
    <border>
      <left style="medium">
        <color rgb="FF800000"/>
      </left>
      <top style="hair">
        <color rgb="FF800000"/>
      </top>
      <bottom style="hair">
        <color rgb="FF800000"/>
      </bottom>
    </border>
    <border>
      <right style="medium">
        <color rgb="FF800000"/>
      </right>
      <top style="hair">
        <color rgb="FF800000"/>
      </top>
      <bottom style="hair">
        <color rgb="FF800000"/>
      </bottom>
    </border>
    <border>
      <left style="hair">
        <color rgb="FF800000"/>
      </left>
      <top style="hair">
        <color rgb="FF800000"/>
      </top>
      <bottom style="hair">
        <color rgb="FF800000"/>
      </bottom>
    </border>
    <border>
      <left style="medium">
        <color rgb="FF800000"/>
      </left>
      <right style="hair">
        <color rgb="FF800000"/>
      </right>
      <top style="hair">
        <color rgb="FF800000"/>
      </top>
      <bottom style="hair">
        <color rgb="FF800000"/>
      </bottom>
    </border>
    <border>
      <top style="hair">
        <color rgb="FF800000"/>
      </top>
      <bottom style="hair">
        <color rgb="FF800000"/>
      </bottom>
    </border>
    <border>
      <right style="hair">
        <color rgb="FF800000"/>
      </right>
      <top style="hair">
        <color rgb="FF800000"/>
      </top>
      <bottom style="hair">
        <color rgb="FF800000"/>
      </bottom>
    </border>
    <border>
      <left style="medium">
        <color rgb="FF800000"/>
      </left>
      <right style="hair">
        <color rgb="FF800000"/>
      </right>
      <top style="hair">
        <color rgb="FF800000"/>
      </top>
    </border>
    <border>
      <top style="hair">
        <color rgb="FF800000"/>
      </top>
    </border>
    <border>
      <left style="medium">
        <color rgb="FF800000"/>
      </left>
      <top style="hair">
        <color rgb="FF800000"/>
      </top>
      <bottom style="medium">
        <color rgb="FF800000"/>
      </bottom>
    </border>
    <border>
      <right style="medium">
        <color rgb="FF800000"/>
      </right>
      <top style="hair">
        <color rgb="FF800000"/>
      </top>
      <bottom style="medium">
        <color rgb="FF800000"/>
      </bottom>
    </border>
    <border>
      <left style="medium">
        <color rgb="FF800000"/>
      </left>
      <right style="hair">
        <color rgb="FF800000"/>
      </right>
      <top style="hair">
        <color rgb="FF800000"/>
      </top>
      <bottom style="medium">
        <color rgb="FF800000"/>
      </bottom>
    </border>
    <border>
      <left style="hair">
        <color rgb="FF800000"/>
      </left>
      <top style="hair">
        <color rgb="FF800000"/>
      </top>
      <bottom style="medium">
        <color rgb="FF800000"/>
      </bottom>
    </border>
    <border>
      <top style="hair">
        <color rgb="FF800000"/>
      </top>
      <bottom style="medium">
        <color rgb="FF800000"/>
      </bottom>
    </border>
    <border>
      <right style="hair">
        <color rgb="FF800000"/>
      </right>
      <top style="hair">
        <color rgb="FF800000"/>
      </top>
      <bottom style="medium">
        <color rgb="FF800000"/>
      </bottom>
    </border>
    <border>
      <left/>
      <right/>
      <top style="hair">
        <color rgb="FF800000"/>
      </top>
      <bottom style="hair">
        <color rgb="FF800000"/>
      </bottom>
    </border>
    <border>
      <left style="medium">
        <color rgb="FF800000"/>
      </left>
      <bottom style="hair">
        <color rgb="FF800000"/>
      </bottom>
    </border>
    <border>
      <right style="medium">
        <color rgb="FF800000"/>
      </right>
      <bottom style="hair">
        <color rgb="FF800000"/>
      </bottom>
    </border>
    <border>
      <bottom style="hair">
        <color rgb="FF800000"/>
      </bottom>
    </border>
    <border>
      <right style="hair">
        <color rgb="FF800000"/>
      </right>
      <bottom style="hair">
        <color rgb="FF800000"/>
      </bottom>
    </border>
    <border>
      <left style="medium">
        <color rgb="FF800000"/>
      </left>
      <right style="hair">
        <color rgb="FF800000"/>
      </right>
    </border>
    <border>
      <left style="hair">
        <color rgb="FF800000"/>
      </left>
      <bottom style="hair">
        <color rgb="FF800000"/>
      </bottom>
    </border>
    <border>
      <right style="hair">
        <color rgb="FF800000"/>
      </right>
      <top style="medium">
        <color rgb="FF800000"/>
      </top>
    </border>
    <border>
      <left style="hair">
        <color rgb="FF800000"/>
      </left>
      <right style="hair">
        <color rgb="FF800000"/>
      </right>
      <top style="hair">
        <color rgb="FF800000"/>
      </top>
      <bottom style="hair">
        <color rgb="FF800000"/>
      </bottom>
    </border>
    <border>
      <left style="thick">
        <color rgb="FFD9FC2C"/>
      </left>
      <right style="thick">
        <color rgb="FFD9FC2C"/>
      </right>
      <top style="thick">
        <color rgb="FFD9FC2C"/>
      </top>
      <bottom style="thick">
        <color rgb="FFD9FC2C"/>
      </bottom>
    </border>
    <border>
      <bottom style="medium">
        <color rgb="FF800000"/>
      </bottom>
    </border>
    <border>
      <right style="hair">
        <color rgb="FF800000"/>
      </right>
      <top style="hair">
        <color rgb="FF800000"/>
      </top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1" vertical="top" wrapText="0"/>
    </xf>
    <xf borderId="2" fillId="0" fontId="2" numFmtId="0" xfId="0" applyBorder="1" applyFont="1"/>
    <xf borderId="3" fillId="0" fontId="3" numFmtId="164" xfId="0" applyAlignment="1" applyBorder="1" applyFont="1" applyNumberFormat="1">
      <alignment horizontal="center" vertical="center"/>
    </xf>
    <xf borderId="4" fillId="0" fontId="2" numFmtId="0" xfId="0" applyBorder="1" applyFont="1"/>
    <xf borderId="3" fillId="0" fontId="4" numFmtId="164" xfId="0" applyAlignment="1" applyBorder="1" applyFont="1" applyNumberFormat="1">
      <alignment horizontal="center" vertical="center"/>
    </xf>
    <xf borderId="5" fillId="0" fontId="2" numFmtId="0" xfId="0" applyBorder="1" applyFont="1"/>
    <xf borderId="0" fillId="0" fontId="5" numFmtId="0" xfId="0" applyAlignment="1" applyFont="1">
      <alignment shrinkToFit="1" wrapText="0"/>
    </xf>
    <xf borderId="6" fillId="0" fontId="2" numFmtId="0" xfId="0" applyBorder="1" applyFont="1"/>
    <xf borderId="7" fillId="0" fontId="2" numFmtId="0" xfId="0" applyBorder="1" applyFont="1"/>
    <xf borderId="3" fillId="0" fontId="5" numFmtId="0" xfId="0" applyAlignment="1" applyBorder="1" applyFont="1">
      <alignment horizontal="center" shrinkToFit="1" wrapText="0"/>
    </xf>
    <xf borderId="4" fillId="0" fontId="3" numFmtId="0" xfId="0" applyAlignment="1" applyBorder="1" applyFont="1">
      <alignment horizontal="center" shrinkToFit="1" wrapText="0"/>
    </xf>
    <xf borderId="4" fillId="0" fontId="5" numFmtId="0" xfId="0" applyAlignment="1" applyBorder="1" applyFont="1">
      <alignment horizontal="center" shrinkToFit="1" wrapText="0"/>
    </xf>
    <xf borderId="8" fillId="0" fontId="6" numFmtId="0" xfId="0" applyAlignment="1" applyBorder="1" applyFont="1">
      <alignment shrinkToFit="1" vertical="center" wrapText="0"/>
    </xf>
    <xf borderId="9" fillId="0" fontId="2" numFmtId="0" xfId="0" applyBorder="1" applyFont="1"/>
    <xf borderId="10" fillId="0" fontId="5" numFmtId="0" xfId="0" applyAlignment="1" applyBorder="1" applyFont="1">
      <alignment horizontal="center" shrinkToFit="1" wrapText="0"/>
    </xf>
    <xf borderId="11" fillId="0" fontId="5" numFmtId="165" xfId="0" applyAlignment="1" applyBorder="1" applyFont="1" applyNumberFormat="1">
      <alignment horizontal="right" shrinkToFit="1" wrapText="0"/>
    </xf>
    <xf borderId="12" fillId="2" fontId="7" numFmtId="0" xfId="0" applyAlignment="1" applyBorder="1" applyFill="1" applyFont="1">
      <alignment horizontal="center" shrinkToFit="1" wrapText="0"/>
    </xf>
    <xf borderId="13" fillId="0" fontId="5" numFmtId="165" xfId="0" applyAlignment="1" applyBorder="1" applyFont="1" applyNumberFormat="1">
      <alignment horizontal="left" shrinkToFit="1" wrapText="0"/>
    </xf>
    <xf borderId="11" fillId="0" fontId="5" numFmtId="0" xfId="0" applyAlignment="1" applyBorder="1" applyFont="1">
      <alignment horizontal="center" shrinkToFit="1" wrapText="0"/>
    </xf>
    <xf borderId="14" fillId="0" fontId="8" numFmtId="165" xfId="0" applyAlignment="1" applyBorder="1" applyFont="1" applyNumberFormat="1">
      <alignment horizontal="center" shrinkToFit="1" vertical="center" wrapText="0"/>
    </xf>
    <xf borderId="15" fillId="0" fontId="9" numFmtId="0" xfId="0" applyAlignment="1" applyBorder="1" applyFont="1">
      <alignment shrinkToFit="1" vertical="center" wrapText="0"/>
    </xf>
    <xf borderId="16" fillId="0" fontId="2" numFmtId="0" xfId="0" applyBorder="1" applyFont="1"/>
    <xf borderId="17" fillId="0" fontId="3" numFmtId="165" xfId="0" applyAlignment="1" applyBorder="1" applyFont="1" applyNumberFormat="1">
      <alignment horizontal="center" shrinkToFit="1" vertical="center" wrapText="0"/>
    </xf>
    <xf borderId="15" fillId="0" fontId="10" numFmtId="0" xfId="0" applyAlignment="1" applyBorder="1" applyFont="1">
      <alignment shrinkToFit="1" vertical="center" wrapText="0"/>
    </xf>
    <xf borderId="18" fillId="0" fontId="3" numFmtId="0" xfId="0" applyAlignment="1" applyBorder="1" applyFont="1">
      <alignment horizontal="center" shrinkToFit="1" wrapText="0"/>
    </xf>
    <xf borderId="19" fillId="0" fontId="5" numFmtId="165" xfId="0" applyAlignment="1" applyBorder="1" applyFont="1" applyNumberFormat="1">
      <alignment horizontal="right" shrinkToFit="1" wrapText="0"/>
    </xf>
    <xf borderId="19" fillId="0" fontId="5" numFmtId="0" xfId="0" applyAlignment="1" applyBorder="1" applyFont="1">
      <alignment horizontal="center" shrinkToFit="1" wrapText="0"/>
    </xf>
    <xf borderId="20" fillId="0" fontId="5" numFmtId="165" xfId="0" applyAlignment="1" applyBorder="1" applyFont="1" applyNumberFormat="1">
      <alignment horizontal="left" shrinkToFit="1" wrapText="0"/>
    </xf>
    <xf borderId="17" fillId="0" fontId="8" numFmtId="165" xfId="0" applyAlignment="1" applyBorder="1" applyFont="1" applyNumberFormat="1">
      <alignment horizontal="center" shrinkToFit="1" vertical="center" wrapText="0"/>
    </xf>
    <xf borderId="18" fillId="0" fontId="5" numFmtId="0" xfId="0" applyAlignment="1" applyBorder="1" applyFont="1">
      <alignment horizontal="center" shrinkToFit="1" wrapText="0"/>
    </xf>
    <xf borderId="15" fillId="0" fontId="11" numFmtId="0" xfId="0" applyAlignment="1" applyBorder="1" applyFont="1">
      <alignment shrinkToFit="1" vertical="center" wrapText="0"/>
    </xf>
    <xf borderId="15" fillId="0" fontId="1" numFmtId="0" xfId="0" applyAlignment="1" applyBorder="1" applyFont="1">
      <alignment shrinkToFit="1" vertical="center" wrapText="0"/>
    </xf>
    <xf borderId="21" fillId="0" fontId="3" numFmtId="0" xfId="0" applyAlignment="1" applyBorder="1" applyFont="1">
      <alignment horizontal="center" shrinkToFit="1" wrapText="0"/>
    </xf>
    <xf borderId="22" fillId="0" fontId="3" numFmtId="0" xfId="0" applyAlignment="1" applyBorder="1" applyFont="1">
      <alignment horizontal="center" shrinkToFit="1" wrapText="0"/>
    </xf>
    <xf borderId="23" fillId="0" fontId="12" numFmtId="0" xfId="0" applyAlignment="1" applyBorder="1" applyFont="1">
      <alignment shrinkToFit="1" vertical="center" wrapText="0"/>
    </xf>
    <xf borderId="24" fillId="0" fontId="2" numFmtId="0" xfId="0" applyBorder="1" applyFont="1"/>
    <xf borderId="25" fillId="0" fontId="5" numFmtId="0" xfId="0" applyAlignment="1" applyBorder="1" applyFont="1">
      <alignment horizontal="center" shrinkToFit="1" wrapText="0"/>
    </xf>
    <xf borderId="26" fillId="0" fontId="5" numFmtId="0" xfId="0" applyAlignment="1" applyBorder="1" applyFont="1">
      <alignment horizontal="center" shrinkToFit="1" wrapText="0"/>
    </xf>
    <xf borderId="27" fillId="0" fontId="2" numFmtId="0" xfId="0" applyBorder="1" applyFont="1"/>
    <xf borderId="28" fillId="0" fontId="2" numFmtId="0" xfId="0" applyBorder="1" applyFont="1"/>
    <xf borderId="27" fillId="0" fontId="5" numFmtId="0" xfId="0" applyAlignment="1" applyBorder="1" applyFont="1">
      <alignment horizontal="center" shrinkToFit="1" wrapText="0"/>
    </xf>
    <xf borderId="26" fillId="0" fontId="3" numFmtId="165" xfId="0" applyAlignment="1" applyBorder="1" applyFont="1" applyNumberFormat="1">
      <alignment horizontal="center" shrinkToFit="1" vertical="center" wrapText="0"/>
    </xf>
    <xf borderId="26" fillId="0" fontId="5" numFmtId="49" xfId="0" applyAlignment="1" applyBorder="1" applyFont="1" applyNumberFormat="1">
      <alignment horizontal="center" shrinkToFit="1" wrapText="0"/>
    </xf>
    <xf borderId="10" fillId="0" fontId="3" numFmtId="0" xfId="0" applyAlignment="1" applyBorder="1" applyFont="1">
      <alignment horizontal="center" shrinkToFit="1" wrapText="0"/>
    </xf>
    <xf borderId="11" fillId="0" fontId="3" numFmtId="165" xfId="0" applyAlignment="1" applyBorder="1" applyFont="1" applyNumberFormat="1">
      <alignment horizontal="right" shrinkToFit="1" wrapText="0"/>
    </xf>
    <xf borderId="13" fillId="0" fontId="3" numFmtId="165" xfId="0" applyAlignment="1" applyBorder="1" applyFont="1" applyNumberFormat="1">
      <alignment horizontal="left" shrinkToFit="1" wrapText="0"/>
    </xf>
    <xf borderId="11" fillId="0" fontId="3" numFmtId="0" xfId="0" applyAlignment="1" applyBorder="1" applyFont="1">
      <alignment horizontal="center" shrinkToFit="1" wrapText="0"/>
    </xf>
    <xf borderId="14" fillId="0" fontId="3" numFmtId="165" xfId="0" applyAlignment="1" applyBorder="1" applyFont="1" applyNumberFormat="1">
      <alignment horizontal="center" shrinkToFit="1" vertical="center" wrapText="0"/>
    </xf>
    <xf borderId="17" fillId="0" fontId="13" numFmtId="165" xfId="0" applyAlignment="1" applyBorder="1" applyFont="1" applyNumberFormat="1">
      <alignment horizontal="center" shrinkToFit="1" vertical="center" wrapText="0"/>
    </xf>
    <xf borderId="29" fillId="2" fontId="14" numFmtId="0" xfId="0" applyAlignment="1" applyBorder="1" applyFont="1">
      <alignment horizontal="center" shrinkToFit="1" wrapText="0"/>
    </xf>
    <xf borderId="17" fillId="0" fontId="5" numFmtId="0" xfId="0" applyAlignment="1" applyBorder="1" applyFont="1">
      <alignment horizontal="center" shrinkToFit="1" wrapText="0"/>
    </xf>
    <xf borderId="19" fillId="0" fontId="2" numFmtId="0" xfId="0" applyBorder="1" applyFont="1"/>
    <xf borderId="20" fillId="0" fontId="2" numFmtId="0" xfId="0" applyBorder="1" applyFont="1"/>
    <xf borderId="22" fillId="0" fontId="5" numFmtId="0" xfId="0" applyAlignment="1" applyBorder="1" applyFont="1">
      <alignment horizontal="center" shrinkToFit="1" wrapText="0"/>
    </xf>
    <xf borderId="30" fillId="0" fontId="15" numFmtId="0" xfId="0" applyAlignment="1" applyBorder="1" applyFont="1">
      <alignment shrinkToFit="1" vertical="center" wrapText="0"/>
    </xf>
    <xf borderId="31" fillId="0" fontId="2" numFmtId="0" xfId="0" applyBorder="1" applyFont="1"/>
    <xf borderId="14" fillId="0" fontId="16" numFmtId="165" xfId="0" applyAlignment="1" applyBorder="1" applyFont="1" applyNumberFormat="1">
      <alignment horizontal="center" shrinkToFit="1" vertical="center" wrapText="0"/>
    </xf>
    <xf borderId="14" fillId="0" fontId="5" numFmtId="0" xfId="0" applyAlignment="1" applyBorder="1" applyFont="1">
      <alignment horizontal="center" shrinkToFit="1" wrapText="0"/>
    </xf>
    <xf borderId="11" fillId="0" fontId="2" numFmtId="0" xfId="0" applyBorder="1" applyFont="1"/>
    <xf borderId="13" fillId="0" fontId="2" numFmtId="0" xfId="0" applyBorder="1" applyFont="1"/>
    <xf borderId="17" fillId="0" fontId="16" numFmtId="165" xfId="0" applyAlignment="1" applyBorder="1" applyFont="1" applyNumberFormat="1">
      <alignment horizontal="center" shrinkToFit="1" vertical="center" wrapText="0"/>
    </xf>
    <xf borderId="32" fillId="0" fontId="5" numFmtId="165" xfId="0" applyAlignment="1" applyBorder="1" applyFont="1" applyNumberFormat="1">
      <alignment horizontal="right" shrinkToFit="1" wrapText="0"/>
    </xf>
    <xf borderId="32" fillId="0" fontId="5" numFmtId="0" xfId="0" applyAlignment="1" applyBorder="1" applyFont="1">
      <alignment horizontal="center" shrinkToFit="1" wrapText="0"/>
    </xf>
    <xf borderId="33" fillId="0" fontId="5" numFmtId="165" xfId="0" applyAlignment="1" applyBorder="1" applyFont="1" applyNumberFormat="1">
      <alignment horizontal="left" shrinkToFit="1" wrapText="0"/>
    </xf>
    <xf borderId="34" fillId="0" fontId="3" numFmtId="0" xfId="0" applyAlignment="1" applyBorder="1" applyFont="1">
      <alignment horizontal="center" shrinkToFit="1" wrapText="0"/>
    </xf>
    <xf borderId="0" fillId="0" fontId="3" numFmtId="0" xfId="0" applyAlignment="1" applyFont="1">
      <alignment horizontal="center" shrinkToFit="1" wrapText="0"/>
    </xf>
    <xf borderId="35" fillId="0" fontId="3" numFmtId="165" xfId="0" applyAlignment="1" applyBorder="1" applyFont="1" applyNumberFormat="1">
      <alignment horizontal="center" shrinkToFit="1" vertical="center" wrapText="0"/>
    </xf>
    <xf borderId="27" fillId="0" fontId="5" numFmtId="165" xfId="0" applyAlignment="1" applyBorder="1" applyFont="1" applyNumberFormat="1">
      <alignment horizontal="right" shrinkToFit="1" wrapText="0"/>
    </xf>
    <xf borderId="28" fillId="0" fontId="5" numFmtId="165" xfId="0" applyAlignment="1" applyBorder="1" applyFont="1" applyNumberFormat="1">
      <alignment horizontal="left" shrinkToFit="1" wrapText="0"/>
    </xf>
    <xf borderId="26" fillId="0" fontId="17" numFmtId="165" xfId="0" applyAlignment="1" applyBorder="1" applyFont="1" applyNumberFormat="1">
      <alignment horizontal="center" shrinkToFit="1" vertical="center" wrapText="0"/>
    </xf>
    <xf borderId="8" fillId="0" fontId="3" numFmtId="0" xfId="0" applyAlignment="1" applyBorder="1" applyFont="1">
      <alignment shrinkToFit="1" vertical="center" wrapText="0"/>
    </xf>
    <xf borderId="8" fillId="0" fontId="3" numFmtId="0" xfId="0" applyAlignment="1" applyBorder="1" applyFont="1">
      <alignment horizontal="center" shrinkToFit="1" vertical="center" wrapText="0"/>
    </xf>
    <xf borderId="11" fillId="0" fontId="3" numFmtId="0" xfId="0" applyAlignment="1" applyBorder="1" applyFont="1">
      <alignment shrinkToFit="1" vertical="center" wrapText="0"/>
    </xf>
    <xf borderId="36" fillId="0" fontId="5" numFmtId="165" xfId="0" applyAlignment="1" applyBorder="1" applyFont="1" applyNumberFormat="1">
      <alignment horizontal="left" shrinkToFit="1" wrapText="0"/>
    </xf>
    <xf borderId="17" fillId="0" fontId="5" numFmtId="165" xfId="0" applyAlignment="1" applyBorder="1" applyFont="1" applyNumberFormat="1">
      <alignment horizontal="right" shrinkToFit="1" wrapText="0"/>
    </xf>
    <xf borderId="15" fillId="0" fontId="3" numFmtId="0" xfId="0" applyAlignment="1" applyBorder="1" applyFont="1">
      <alignment shrinkToFit="1" vertical="center" wrapText="0"/>
    </xf>
    <xf borderId="8" fillId="0" fontId="18" numFmtId="0" xfId="0" applyAlignment="1" applyBorder="1" applyFont="1">
      <alignment shrinkToFit="1" vertical="center" wrapText="0"/>
    </xf>
    <xf borderId="15" fillId="0" fontId="10" numFmtId="0" xfId="0" applyAlignment="1" applyBorder="1" applyFont="1">
      <alignment horizontal="center" shrinkToFit="1" vertical="center" wrapText="0"/>
    </xf>
    <xf borderId="19" fillId="0" fontId="19" numFmtId="0" xfId="0" applyAlignment="1" applyBorder="1" applyFont="1">
      <alignment shrinkToFit="1" vertical="center" wrapText="0"/>
    </xf>
    <xf borderId="37" fillId="0" fontId="3" numFmtId="0" xfId="0" applyAlignment="1" applyBorder="1" applyFont="1">
      <alignment horizontal="center" shrinkToFit="1" wrapText="0"/>
    </xf>
    <xf borderId="17" fillId="0" fontId="19" numFmtId="0" xfId="0" applyAlignment="1" applyBorder="1" applyFont="1">
      <alignment horizontal="center" shrinkToFit="1" vertical="center" wrapText="0"/>
    </xf>
    <xf borderId="19" fillId="0" fontId="19" numFmtId="0" xfId="0" applyAlignment="1" applyBorder="1" applyFont="1">
      <alignment shrinkToFit="1" wrapText="0"/>
    </xf>
    <xf borderId="17" fillId="0" fontId="19" numFmtId="0" xfId="0" applyAlignment="1" applyBorder="1" applyFont="1">
      <alignment horizontal="center" shrinkToFit="1" wrapText="0"/>
    </xf>
    <xf borderId="21" fillId="0" fontId="5" numFmtId="0" xfId="0" applyAlignment="1" applyBorder="1" applyFont="1">
      <alignment horizontal="center" shrinkToFit="1" wrapText="0"/>
    </xf>
    <xf borderId="23" fillId="0" fontId="3" numFmtId="0" xfId="0" applyAlignment="1" applyBorder="1" applyFont="1">
      <alignment horizontal="center" shrinkToFit="1" vertical="center" wrapText="0"/>
    </xf>
    <xf borderId="23" fillId="0" fontId="3" numFmtId="0" xfId="0" applyAlignment="1" applyBorder="1" applyFont="1">
      <alignment shrinkToFit="1" vertical="center" wrapText="0"/>
    </xf>
    <xf borderId="23" fillId="3" fontId="20" numFmtId="0" xfId="0" applyAlignment="1" applyBorder="1" applyFill="1" applyFont="1">
      <alignment horizontal="center" shrinkToFit="1" vertical="center" wrapText="0"/>
    </xf>
    <xf borderId="0" fillId="0" fontId="3" numFmtId="0" xfId="0" applyAlignment="1" applyFont="1">
      <alignment horizontal="right" shrinkToFit="1" wrapText="0"/>
    </xf>
    <xf borderId="0" fillId="0" fontId="5" numFmtId="0" xfId="0" applyFont="1"/>
    <xf borderId="15" fillId="0" fontId="3" numFmtId="0" xfId="0" applyAlignment="1" applyBorder="1" applyFont="1">
      <alignment horizontal="center" shrinkToFit="1" wrapText="0"/>
    </xf>
    <xf borderId="38" fillId="0" fontId="3" numFmtId="0" xfId="0" applyAlignment="1" applyBorder="1" applyFont="1">
      <alignment horizontal="center" shrinkToFit="1" wrapText="0"/>
    </xf>
    <xf borderId="19" fillId="0" fontId="3" numFmtId="165" xfId="0" applyAlignment="1" applyBorder="1" applyFont="1" applyNumberFormat="1">
      <alignment horizontal="center" shrinkToFit="1" vertical="center" wrapText="0"/>
    </xf>
    <xf borderId="39" fillId="0" fontId="5" numFmtId="0" xfId="0" applyAlignment="1" applyBorder="1" applyFont="1">
      <alignment horizontal="center" shrinkToFit="1" wrapText="0"/>
    </xf>
    <xf borderId="15" fillId="0" fontId="19" numFmtId="0" xfId="0" applyAlignment="1" applyBorder="1" applyFont="1">
      <alignment horizontal="center" shrinkToFit="1" vertical="center" wrapText="0"/>
    </xf>
    <xf borderId="15" fillId="0" fontId="19" numFmtId="0" xfId="0" applyAlignment="1" applyBorder="1" applyFont="1">
      <alignment horizontal="center" shrinkToFit="1" wrapText="0"/>
    </xf>
    <xf borderId="3" fillId="4" fontId="1" numFmtId="164" xfId="0" applyAlignment="1" applyBorder="1" applyFill="1" applyFont="1" applyNumberFormat="1">
      <alignment horizontal="center" vertical="center"/>
    </xf>
    <xf borderId="14" fillId="0" fontId="3" numFmtId="0" xfId="0" applyAlignment="1" applyBorder="1" applyFont="1">
      <alignment horizontal="center" shrinkToFit="1" wrapText="0"/>
    </xf>
    <xf borderId="22" fillId="0" fontId="5" numFmtId="165" xfId="0" applyAlignment="1" applyBorder="1" applyFont="1" applyNumberFormat="1">
      <alignment horizontal="right" shrinkToFit="1" wrapText="0"/>
    </xf>
    <xf borderId="40" fillId="0" fontId="5" numFmtId="165" xfId="0" applyAlignment="1" applyBorder="1" applyFont="1" applyNumberFormat="1">
      <alignment horizontal="left" shrinkToFit="1" wrapText="0"/>
    </xf>
    <xf borderId="17" fillId="0" fontId="3" numFmtId="0" xfId="0" applyAlignment="1" applyBorder="1" applyFont="1">
      <alignment horizontal="center" shrinkToFit="1" wrapText="0"/>
    </xf>
  </cellXfs>
  <cellStyles count="1">
    <cellStyle xfId="0" name="Normal" builtinId="0"/>
  </cellStyles>
  <dxfs count="3">
    <dxf>
      <font/>
      <fill>
        <patternFill patternType="solid">
          <fgColor rgb="FF969696"/>
          <bgColor rgb="FF969696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008080"/>
          <bgColor rgb="FF00808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xlathlete.com/view_exercise.jsp?sport=sport&amp;exercise_name=single%20leg%20back%20squat" TargetMode="External"/><Relationship Id="rId2" Type="http://schemas.openxmlformats.org/officeDocument/2006/relationships/hyperlink" Target="http://www.xlathlete.com/view_exercise.jsp?sport=sport&amp;exercise_name=dumbbell%20bench%20press" TargetMode="External"/><Relationship Id="rId3" Type="http://schemas.openxmlformats.org/officeDocument/2006/relationships/hyperlink" Target="http://www.xlathlete.com/view_exercise.jsp?sport=sport&amp;exercise_name=bulgarian%20split%20deadlift" TargetMode="External"/><Relationship Id="rId4" Type="http://schemas.openxmlformats.org/officeDocument/2006/relationships/hyperlink" Target="http://www.xlathlete.com/view_exercise.jsp?sport=sport&amp;exercise_name=push%20up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www.xlathlete.com/view_exercise.jsp?sport=sport&amp;exercise_name=dumbbell%20bent%20over%20row" TargetMode="External"/><Relationship Id="rId9" Type="http://schemas.openxmlformats.org/officeDocument/2006/relationships/hyperlink" Target="http://www.xlathlete.com/view_exercise.jsp?sport=sport&amp;exercise_name=dumbbell%20walking%20lunge" TargetMode="External"/><Relationship Id="rId5" Type="http://schemas.openxmlformats.org/officeDocument/2006/relationships/hyperlink" Target="http://www.xlathlete.com/view_exercise.jsp?sport=sport&amp;exercise_name=dumbbell%20squat" TargetMode="External"/><Relationship Id="rId6" Type="http://schemas.openxmlformats.org/officeDocument/2006/relationships/hyperlink" Target="http://www.xlathlete.com/view_exercise.jsp?sport=sport&amp;exercise_name=jm%20dumbbell%20press" TargetMode="External"/><Relationship Id="rId7" Type="http://schemas.openxmlformats.org/officeDocument/2006/relationships/hyperlink" Target="http://www.xlathlete.com/view_exercise.jsp?sport=sport&amp;exercise_name=pull%20up" TargetMode="External"/><Relationship Id="rId8" Type="http://schemas.openxmlformats.org/officeDocument/2006/relationships/hyperlink" Target="http://www.xlathlete.com/view_exercise.jsp?sport=sport&amp;exercise_name=pull%20up%20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xlathlete.com/view_exercise.jsp?sport=sport&amp;exercise_name=single%20leg%20back%20squat" TargetMode="External"/><Relationship Id="rId2" Type="http://schemas.openxmlformats.org/officeDocument/2006/relationships/hyperlink" Target="http://www.xlathlete.com/view_exercise.jsp?sport=sport&amp;exercise_name=dumbbell%20bench%20press" TargetMode="External"/><Relationship Id="rId3" Type="http://schemas.openxmlformats.org/officeDocument/2006/relationships/hyperlink" Target="http://www.xlathlete.com/view_exercise.jsp?sport=sport&amp;exercise_name=bulgarian%20split%20deadlift" TargetMode="External"/><Relationship Id="rId4" Type="http://schemas.openxmlformats.org/officeDocument/2006/relationships/hyperlink" Target="http://www.xlathlete.com/view_exercise.jsp?sport=sport&amp;exercise_name=push%20up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://www.xlathlete.com/view_exercise.jsp?sport=sport&amp;exercise_name=dumbbell%20bent%20over%20row" TargetMode="External"/><Relationship Id="rId9" Type="http://schemas.openxmlformats.org/officeDocument/2006/relationships/hyperlink" Target="http://www.xlathlete.com/view_exercise.jsp?sport=sport&amp;exercise_name=dumbbell%20walking%20lunge" TargetMode="External"/><Relationship Id="rId5" Type="http://schemas.openxmlformats.org/officeDocument/2006/relationships/hyperlink" Target="http://www.xlathlete.com/view_exercise.jsp?sport=sport&amp;exercise_name=dumbbell%20squat" TargetMode="External"/><Relationship Id="rId6" Type="http://schemas.openxmlformats.org/officeDocument/2006/relationships/hyperlink" Target="http://www.xlathlete.com/view_exercise.jsp?sport=sport&amp;exercise_name=jm%20dumbbell%20press" TargetMode="External"/><Relationship Id="rId7" Type="http://schemas.openxmlformats.org/officeDocument/2006/relationships/hyperlink" Target="http://www.xlathlete.com/view_exercise.jsp?sport=sport&amp;exercise_name=pull%20up" TargetMode="External"/><Relationship Id="rId8" Type="http://schemas.openxmlformats.org/officeDocument/2006/relationships/hyperlink" Target="http://www.xlathlete.com/view_exercise.jsp?sport=sport&amp;exercise_name=pull%20up%20x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xlathlete.com/view_exercise.jsp?sport=sport&amp;exercise_name=single%20leg%20back%20squat" TargetMode="External"/><Relationship Id="rId2" Type="http://schemas.openxmlformats.org/officeDocument/2006/relationships/hyperlink" Target="http://www.xlathlete.com/view_exercise.jsp?sport=sport&amp;exercise_name=dumbbell%20bench%20press" TargetMode="External"/><Relationship Id="rId3" Type="http://schemas.openxmlformats.org/officeDocument/2006/relationships/hyperlink" Target="http://www.xlathlete.com/view_exercise.jsp?sport=sport&amp;exercise_name=bulgarian%20split%20deadlift" TargetMode="External"/><Relationship Id="rId4" Type="http://schemas.openxmlformats.org/officeDocument/2006/relationships/hyperlink" Target="http://www.xlathlete.com/view_exercise.jsp?sport=sport&amp;exercise_name=push%20up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://www.xlathlete.com/view_exercise.jsp?sport=sport&amp;exercise_name=dumbbell%20bent%20over%20row" TargetMode="External"/><Relationship Id="rId9" Type="http://schemas.openxmlformats.org/officeDocument/2006/relationships/hyperlink" Target="http://www.xlathlete.com/view_exercise.jsp?sport=sport&amp;exercise_name=dumbbell%20walking%20lunge" TargetMode="External"/><Relationship Id="rId5" Type="http://schemas.openxmlformats.org/officeDocument/2006/relationships/hyperlink" Target="http://www.xlathlete.com/view_exercise.jsp?sport=sport&amp;exercise_name=dumbbell%20squat" TargetMode="External"/><Relationship Id="rId6" Type="http://schemas.openxmlformats.org/officeDocument/2006/relationships/hyperlink" Target="http://www.xlathlete.com/view_exercise.jsp?sport=sport&amp;exercise_name=jm%20dumbbell%20press" TargetMode="External"/><Relationship Id="rId7" Type="http://schemas.openxmlformats.org/officeDocument/2006/relationships/hyperlink" Target="http://www.xlathlete.com/view_exercise.jsp?sport=sport&amp;exercise_name=pull%20up" TargetMode="External"/><Relationship Id="rId8" Type="http://schemas.openxmlformats.org/officeDocument/2006/relationships/hyperlink" Target="http://www.xlathlete.com/view_exercise.jsp?sport=sport&amp;exercise_name=pull%20up%20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xlathlete.com/view_exercise.jsp?sport=sport&amp;exercise_name=single%20leg%20back%20squat" TargetMode="External"/><Relationship Id="rId2" Type="http://schemas.openxmlformats.org/officeDocument/2006/relationships/hyperlink" Target="http://www.xlathlete.com/view_exercise.jsp?sport=sport&amp;exercise_name=dumbbell%20bench%20press" TargetMode="External"/><Relationship Id="rId3" Type="http://schemas.openxmlformats.org/officeDocument/2006/relationships/hyperlink" Target="http://www.xlathlete.com/view_exercise.jsp?sport=sport&amp;exercise_name=bulgarian%20split%20deadlift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workbookViewId="0"/>
  </sheetViews>
  <sheetFormatPr customHeight="1" defaultColWidth="12.63" defaultRowHeight="15.75"/>
  <cols>
    <col customWidth="1" min="1" max="2" width="6.38"/>
    <col customWidth="1" min="3" max="3" width="3.5"/>
    <col customWidth="1" min="4" max="4" width="3.38"/>
    <col customWidth="1" min="5" max="5" width="1.63"/>
    <col customWidth="1" min="6" max="6" width="4.0"/>
    <col customWidth="1" min="7" max="7" width="3.5"/>
    <col customWidth="1" min="8" max="9" width="3.75"/>
    <col customWidth="1" min="10" max="10" width="2.13"/>
    <col customWidth="1" min="11" max="12" width="7.0"/>
    <col customWidth="1" min="13" max="13" width="3.38"/>
    <col customWidth="1" min="14" max="14" width="3.75"/>
    <col customWidth="1" min="15" max="15" width="2.13"/>
    <col customWidth="1" min="16" max="17" width="3.88"/>
    <col customWidth="1" min="18" max="19" width="3.75"/>
    <col customWidth="1" min="20" max="20" width="1.38"/>
    <col customWidth="1" min="21" max="22" width="6.5"/>
    <col customWidth="1" min="23" max="23" width="3.13"/>
    <col customWidth="1" min="24" max="24" width="3.38"/>
    <col customWidth="1" min="25" max="25" width="1.63"/>
    <col customWidth="1" min="26" max="26" width="3.25"/>
    <col customWidth="1" min="27" max="27" width="4.38"/>
    <col customWidth="1" min="28" max="29" width="4.25"/>
    <col customWidth="1" min="30" max="30" width="8.0"/>
  </cols>
  <sheetData>
    <row r="1" ht="40.5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75" customHeight="1">
      <c r="A9" s="1" t="s">
        <v>0</v>
      </c>
      <c r="B9" s="2"/>
      <c r="C9" s="3" t="s">
        <v>1</v>
      </c>
      <c r="D9" s="4"/>
      <c r="E9" s="4"/>
      <c r="F9" s="4"/>
      <c r="G9" s="5" t="s">
        <v>2</v>
      </c>
      <c r="H9" s="4"/>
      <c r="I9" s="6"/>
      <c r="J9" s="7"/>
      <c r="K9" s="1" t="s">
        <v>3</v>
      </c>
      <c r="L9" s="2"/>
      <c r="M9" s="3" t="s">
        <v>1</v>
      </c>
      <c r="N9" s="4"/>
      <c r="O9" s="4"/>
      <c r="P9" s="4"/>
      <c r="Q9" s="5" t="s">
        <v>2</v>
      </c>
      <c r="R9" s="4"/>
      <c r="S9" s="6"/>
      <c r="T9" s="7"/>
      <c r="U9" s="1" t="s">
        <v>4</v>
      </c>
      <c r="V9" s="2"/>
      <c r="W9" s="3" t="s">
        <v>1</v>
      </c>
      <c r="X9" s="4"/>
      <c r="Y9" s="4"/>
      <c r="Z9" s="4"/>
      <c r="AA9" s="5" t="s">
        <v>2</v>
      </c>
      <c r="AB9" s="4"/>
      <c r="AC9" s="6"/>
      <c r="AD9" s="7"/>
    </row>
    <row r="10" ht="12.0" customHeight="1">
      <c r="A10" s="8"/>
      <c r="B10" s="9"/>
      <c r="C10" s="10" t="s">
        <v>5</v>
      </c>
      <c r="D10" s="11" t="s">
        <v>6</v>
      </c>
      <c r="E10" s="4"/>
      <c r="F10" s="4"/>
      <c r="G10" s="12" t="s">
        <v>7</v>
      </c>
      <c r="H10" s="11" t="s">
        <v>8</v>
      </c>
      <c r="I10" s="6"/>
      <c r="J10" s="7"/>
      <c r="K10" s="8"/>
      <c r="L10" s="9"/>
      <c r="M10" s="10" t="s">
        <v>5</v>
      </c>
      <c r="N10" s="11" t="s">
        <v>6</v>
      </c>
      <c r="O10" s="4"/>
      <c r="P10" s="4"/>
      <c r="Q10" s="12" t="s">
        <v>7</v>
      </c>
      <c r="R10" s="11" t="s">
        <v>8</v>
      </c>
      <c r="S10" s="6"/>
      <c r="T10" s="7"/>
      <c r="U10" s="8"/>
      <c r="V10" s="9"/>
      <c r="W10" s="10" t="s">
        <v>5</v>
      </c>
      <c r="X10" s="11" t="s">
        <v>6</v>
      </c>
      <c r="Y10" s="4"/>
      <c r="Z10" s="4"/>
      <c r="AA10" s="12" t="s">
        <v>7</v>
      </c>
      <c r="AB10" s="11" t="s">
        <v>8</v>
      </c>
      <c r="AC10" s="6"/>
      <c r="AD10" s="7"/>
    </row>
    <row r="11" ht="12.0" customHeight="1">
      <c r="A11" s="13" t="s">
        <v>9</v>
      </c>
      <c r="B11" s="14"/>
      <c r="C11" s="15">
        <v>5.0</v>
      </c>
      <c r="D11" s="16">
        <f>CEILING((62.5%*(90%*N8)),5)</f>
        <v>0</v>
      </c>
      <c r="E11" s="17" t="s">
        <v>10</v>
      </c>
      <c r="F11" s="18">
        <f>CEILING((67.5%*(90%*N8)),5)</f>
        <v>0</v>
      </c>
      <c r="G11" s="19">
        <v>1.0</v>
      </c>
      <c r="H11" s="20"/>
      <c r="I11" s="14"/>
      <c r="J11" s="7"/>
      <c r="K11" s="21" t="s">
        <v>11</v>
      </c>
      <c r="L11" s="22"/>
      <c r="M11" s="15">
        <v>5.0</v>
      </c>
      <c r="N11" s="16">
        <f>CEILING((62.5%*(90%*Q8)),5)</f>
        <v>0</v>
      </c>
      <c r="O11" s="17" t="s">
        <v>10</v>
      </c>
      <c r="P11" s="18">
        <f>CEILING((67.5%*(90%*Q8)),5)</f>
        <v>0</v>
      </c>
      <c r="Q11" s="19">
        <v>1.0</v>
      </c>
      <c r="R11" s="20"/>
      <c r="S11" s="14"/>
      <c r="T11" s="7"/>
      <c r="U11" s="13" t="s">
        <v>12</v>
      </c>
      <c r="V11" s="14"/>
      <c r="W11" s="15">
        <v>5.0</v>
      </c>
      <c r="X11" s="16">
        <f>CEILING((62.5%*(90%*S8)),5)</f>
        <v>0</v>
      </c>
      <c r="Y11" s="17" t="s">
        <v>10</v>
      </c>
      <c r="Z11" s="18">
        <f>CEILING((67.5%*(90%*S8)),5)</f>
        <v>0</v>
      </c>
      <c r="AA11" s="19">
        <v>1.0</v>
      </c>
      <c r="AB11" s="23"/>
      <c r="AC11" s="22"/>
      <c r="AD11" s="7"/>
    </row>
    <row r="12" ht="12.0" customHeight="1">
      <c r="A12" s="24"/>
      <c r="B12" s="22"/>
      <c r="C12" s="25">
        <v>5.0</v>
      </c>
      <c r="D12" s="26">
        <f>CEILING((67.5%*(90%*N8)),5)</f>
        <v>0</v>
      </c>
      <c r="E12" s="27" t="s">
        <v>10</v>
      </c>
      <c r="F12" s="28">
        <f>CEILING((72.5%*(90%*N8)),5)</f>
        <v>0</v>
      </c>
      <c r="G12" s="27">
        <v>1.0</v>
      </c>
      <c r="H12" s="29"/>
      <c r="I12" s="22"/>
      <c r="J12" s="7"/>
      <c r="K12" s="24"/>
      <c r="L12" s="22"/>
      <c r="M12" s="25">
        <v>5.0</v>
      </c>
      <c r="N12" s="26">
        <f>CEILING((67.5%*(90%*Q8)),5)</f>
        <v>0</v>
      </c>
      <c r="O12" s="27" t="s">
        <v>10</v>
      </c>
      <c r="P12" s="28">
        <f>CEILING((72.5%*(90%*Q8)),5)</f>
        <v>0</v>
      </c>
      <c r="Q12" s="27">
        <v>1.0</v>
      </c>
      <c r="R12" s="29"/>
      <c r="S12" s="22"/>
      <c r="T12" s="7"/>
      <c r="U12" s="24" t="s">
        <v>13</v>
      </c>
      <c r="V12" s="22"/>
      <c r="W12" s="25">
        <v>5.0</v>
      </c>
      <c r="X12" s="26">
        <f>CEILING((67.5%*(90%*S8)),5)</f>
        <v>0</v>
      </c>
      <c r="Y12" s="27" t="s">
        <v>10</v>
      </c>
      <c r="Z12" s="28">
        <f>CEILING((72.5%*(90%*S8)),5)</f>
        <v>0</v>
      </c>
      <c r="AA12" s="27">
        <v>1.0</v>
      </c>
      <c r="AB12" s="23"/>
      <c r="AC12" s="22"/>
      <c r="AD12" s="7"/>
    </row>
    <row r="13" ht="12.0" customHeight="1">
      <c r="A13" s="24" t="s">
        <v>14</v>
      </c>
      <c r="B13" s="22"/>
      <c r="C13" s="30">
        <v>5.0</v>
      </c>
      <c r="D13" s="26">
        <f>CEILING((72.5%*(90%*N8)),5)</f>
        <v>0</v>
      </c>
      <c r="E13" s="27" t="s">
        <v>10</v>
      </c>
      <c r="F13" s="28">
        <f>CEILING((77.5%*(90%*N8)),5)</f>
        <v>0</v>
      </c>
      <c r="G13" s="27">
        <v>1.0</v>
      </c>
      <c r="H13" s="23"/>
      <c r="I13" s="22"/>
      <c r="J13" s="7"/>
      <c r="K13" s="24" t="s">
        <v>14</v>
      </c>
      <c r="L13" s="22"/>
      <c r="M13" s="30">
        <v>5.0</v>
      </c>
      <c r="N13" s="26">
        <f>CEILING((72.5%*(90%*Q8)),5)</f>
        <v>0</v>
      </c>
      <c r="O13" s="27" t="s">
        <v>10</v>
      </c>
      <c r="P13" s="28">
        <f>CEILING((77.5%*(90%*Q8)),5)</f>
        <v>0</v>
      </c>
      <c r="Q13" s="27">
        <v>1.0</v>
      </c>
      <c r="R13" s="23"/>
      <c r="S13" s="22"/>
      <c r="T13" s="7"/>
      <c r="U13" s="31" t="s">
        <v>15</v>
      </c>
      <c r="V13" s="22"/>
      <c r="W13" s="30">
        <v>5.0</v>
      </c>
      <c r="X13" s="26">
        <f>CEILING((72.5%*(90%*S8)),5)</f>
        <v>0</v>
      </c>
      <c r="Y13" s="27" t="s">
        <v>10</v>
      </c>
      <c r="Z13" s="28">
        <f>CEILING((77.5%*(90%*S8)),5)</f>
        <v>0</v>
      </c>
      <c r="AA13" s="27">
        <v>1.0</v>
      </c>
      <c r="AB13" s="23"/>
      <c r="AC13" s="22"/>
      <c r="AD13" s="7"/>
    </row>
    <row r="14" ht="12.0" customHeight="1">
      <c r="A14" s="32"/>
      <c r="B14" s="22"/>
      <c r="C14" s="33"/>
      <c r="D14" s="26"/>
      <c r="E14" s="27"/>
      <c r="F14" s="28"/>
      <c r="G14" s="34"/>
      <c r="H14" s="23"/>
      <c r="I14" s="22"/>
      <c r="J14" s="7"/>
      <c r="K14" s="24"/>
      <c r="L14" s="22"/>
      <c r="M14" s="33"/>
      <c r="N14" s="26"/>
      <c r="O14" s="27"/>
      <c r="P14" s="28"/>
      <c r="Q14" s="34"/>
      <c r="R14" s="23"/>
      <c r="S14" s="22"/>
      <c r="T14" s="7"/>
      <c r="U14" s="24" t="s">
        <v>14</v>
      </c>
      <c r="V14" s="22"/>
      <c r="W14" s="33"/>
      <c r="X14" s="26"/>
      <c r="Y14" s="27"/>
      <c r="Z14" s="28"/>
      <c r="AA14" s="34"/>
      <c r="AB14" s="23"/>
      <c r="AC14" s="22"/>
      <c r="AD14" s="7"/>
    </row>
    <row r="15" ht="12.0" customHeight="1">
      <c r="A15" s="35" t="s">
        <v>16</v>
      </c>
      <c r="B15" s="36"/>
      <c r="C15" s="37">
        <v>5.0</v>
      </c>
      <c r="D15" s="38" t="s">
        <v>17</v>
      </c>
      <c r="E15" s="39"/>
      <c r="F15" s="40"/>
      <c r="G15" s="41">
        <v>3.0</v>
      </c>
      <c r="H15" s="42"/>
      <c r="I15" s="36"/>
      <c r="J15" s="7"/>
      <c r="K15" s="35" t="s">
        <v>18</v>
      </c>
      <c r="L15" s="36"/>
      <c r="M15" s="37">
        <v>5.0</v>
      </c>
      <c r="N15" s="43" t="s">
        <v>19</v>
      </c>
      <c r="O15" s="39"/>
      <c r="P15" s="40"/>
      <c r="Q15" s="41">
        <v>3.0</v>
      </c>
      <c r="R15" s="42"/>
      <c r="S15" s="36"/>
      <c r="T15" s="7"/>
      <c r="U15" s="35" t="s">
        <v>20</v>
      </c>
      <c r="V15" s="36"/>
      <c r="W15" s="37">
        <v>5.0</v>
      </c>
      <c r="X15" s="38" t="s">
        <v>17</v>
      </c>
      <c r="Y15" s="39"/>
      <c r="Z15" s="40"/>
      <c r="AA15" s="41">
        <v>3.0</v>
      </c>
      <c r="AB15" s="42"/>
      <c r="AC15" s="36"/>
      <c r="AD15" s="7"/>
    </row>
    <row r="16" ht="12.0" customHeight="1">
      <c r="A16" s="21" t="s">
        <v>21</v>
      </c>
      <c r="B16" s="22"/>
      <c r="C16" s="44">
        <v>8.0</v>
      </c>
      <c r="D16" s="45">
        <f>CEILING((25%*Q8),5)</f>
        <v>0</v>
      </c>
      <c r="E16" s="17" t="s">
        <v>10</v>
      </c>
      <c r="F16" s="46">
        <f>CEILING((28%*Q8),5)</f>
        <v>0</v>
      </c>
      <c r="G16" s="47">
        <v>3.0</v>
      </c>
      <c r="H16" s="48"/>
      <c r="I16" s="14"/>
      <c r="J16" s="7"/>
      <c r="K16" s="13" t="s">
        <v>22</v>
      </c>
      <c r="L16" s="14"/>
      <c r="M16" s="15">
        <v>8.0</v>
      </c>
      <c r="N16" s="16">
        <f>CEILING((50%*N8),5)</f>
        <v>0</v>
      </c>
      <c r="O16" s="17" t="s">
        <v>10</v>
      </c>
      <c r="P16" s="18">
        <f>CEILING((55%*N8),5)</f>
        <v>0</v>
      </c>
      <c r="Q16" s="19">
        <v>3.0</v>
      </c>
      <c r="R16" s="48"/>
      <c r="S16" s="14"/>
      <c r="T16" s="7"/>
      <c r="U16" s="13" t="s">
        <v>23</v>
      </c>
      <c r="V16" s="14"/>
      <c r="W16" s="15">
        <v>8.0</v>
      </c>
      <c r="X16" s="16">
        <f>CEILING((60%*Q8),5)</f>
        <v>0</v>
      </c>
      <c r="Y16" s="17" t="s">
        <v>10</v>
      </c>
      <c r="Z16" s="18">
        <f>CEILING((65%*Q8),5)</f>
        <v>0</v>
      </c>
      <c r="AA16" s="19">
        <v>3.0</v>
      </c>
      <c r="AB16" s="48"/>
      <c r="AC16" s="14"/>
      <c r="AD16" s="7"/>
    </row>
    <row r="17" ht="12.0" customHeight="1">
      <c r="A17" s="24" t="s">
        <v>14</v>
      </c>
      <c r="B17" s="22"/>
      <c r="C17" s="25"/>
      <c r="D17" s="26"/>
      <c r="E17" s="27"/>
      <c r="F17" s="28"/>
      <c r="G17" s="27"/>
      <c r="H17" s="49"/>
      <c r="I17" s="22"/>
      <c r="J17" s="7"/>
      <c r="K17" s="24" t="s">
        <v>14</v>
      </c>
      <c r="L17" s="22"/>
      <c r="M17" s="25"/>
      <c r="N17" s="26"/>
      <c r="O17" s="27"/>
      <c r="P17" s="28"/>
      <c r="Q17" s="27"/>
      <c r="R17" s="23"/>
      <c r="S17" s="22"/>
      <c r="T17" s="7"/>
      <c r="U17" s="24" t="s">
        <v>14</v>
      </c>
      <c r="V17" s="22"/>
      <c r="W17" s="25"/>
      <c r="X17" s="26"/>
      <c r="Y17" s="27"/>
      <c r="Z17" s="28"/>
      <c r="AA17" s="27"/>
      <c r="AB17" s="23"/>
      <c r="AC17" s="22"/>
      <c r="AD17" s="7"/>
    </row>
    <row r="18" ht="12.0" customHeight="1">
      <c r="A18" s="21" t="s">
        <v>24</v>
      </c>
      <c r="B18" s="22"/>
      <c r="C18" s="30">
        <v>8.0</v>
      </c>
      <c r="D18" s="26">
        <f>CEILING((55%*Q8),5)</f>
        <v>0</v>
      </c>
      <c r="E18" s="50" t="s">
        <v>10</v>
      </c>
      <c r="F18" s="28">
        <f>CEILING((60%*Q8),5)</f>
        <v>0</v>
      </c>
      <c r="G18" s="27">
        <v>3.0</v>
      </c>
      <c r="H18" s="29"/>
      <c r="I18" s="22"/>
      <c r="J18" s="7"/>
      <c r="K18" s="21" t="s">
        <v>25</v>
      </c>
      <c r="L18" s="22"/>
      <c r="M18" s="30">
        <v>10.0</v>
      </c>
      <c r="N18" s="51" t="s">
        <v>26</v>
      </c>
      <c r="O18" s="52"/>
      <c r="P18" s="53"/>
      <c r="Q18" s="27">
        <v>3.0</v>
      </c>
      <c r="R18" s="23" t="s">
        <v>27</v>
      </c>
      <c r="S18" s="22"/>
      <c r="T18" s="7"/>
      <c r="U18" s="21" t="s">
        <v>28</v>
      </c>
      <c r="V18" s="22"/>
      <c r="W18" s="30">
        <v>8.0</v>
      </c>
      <c r="X18" s="26">
        <f>CEILING((41%*Q8),5)</f>
        <v>0</v>
      </c>
      <c r="Y18" s="50" t="s">
        <v>10</v>
      </c>
      <c r="Z18" s="28">
        <f>CEILING((45%*Q8),5)</f>
        <v>0</v>
      </c>
      <c r="AA18" s="27">
        <v>3.0</v>
      </c>
      <c r="AB18" s="23"/>
      <c r="AC18" s="22"/>
      <c r="AD18" s="7"/>
    </row>
    <row r="19" ht="12.0" customHeight="1">
      <c r="A19" s="24" t="s">
        <v>14</v>
      </c>
      <c r="B19" s="22"/>
      <c r="C19" s="33"/>
      <c r="D19" s="26"/>
      <c r="E19" s="27"/>
      <c r="F19" s="28"/>
      <c r="G19" s="54"/>
      <c r="H19" s="29"/>
      <c r="I19" s="22"/>
      <c r="J19" s="7"/>
      <c r="K19" s="24" t="s">
        <v>14</v>
      </c>
      <c r="L19" s="22"/>
      <c r="M19" s="33"/>
      <c r="N19" s="26"/>
      <c r="O19" s="27"/>
      <c r="P19" s="28"/>
      <c r="Q19" s="34"/>
      <c r="R19" s="23"/>
      <c r="S19" s="22"/>
      <c r="T19" s="7"/>
      <c r="U19" s="24" t="s">
        <v>14</v>
      </c>
      <c r="V19" s="22"/>
      <c r="W19" s="33"/>
      <c r="X19" s="26"/>
      <c r="Y19" s="27"/>
      <c r="Z19" s="28"/>
      <c r="AA19" s="34"/>
      <c r="AB19" s="23"/>
      <c r="AC19" s="22"/>
      <c r="AD19" s="7"/>
    </row>
    <row r="20" ht="12.0" customHeight="1">
      <c r="A20" s="35" t="s">
        <v>29</v>
      </c>
      <c r="B20" s="36"/>
      <c r="C20" s="37">
        <v>10.0</v>
      </c>
      <c r="D20" s="38" t="s">
        <v>17</v>
      </c>
      <c r="E20" s="39"/>
      <c r="F20" s="40"/>
      <c r="G20" s="41">
        <v>3.0</v>
      </c>
      <c r="H20" s="42"/>
      <c r="I20" s="36"/>
      <c r="J20" s="7"/>
      <c r="K20" s="35" t="s">
        <v>30</v>
      </c>
      <c r="L20" s="36"/>
      <c r="M20" s="30">
        <v>8.0</v>
      </c>
      <c r="N20" s="26">
        <f>CEILING((9%*Q8),5)</f>
        <v>0</v>
      </c>
      <c r="O20" s="27" t="s">
        <v>10</v>
      </c>
      <c r="P20" s="28">
        <f>CEILING((10%*Q8),5)</f>
        <v>0</v>
      </c>
      <c r="Q20" s="27">
        <v>3.0</v>
      </c>
      <c r="R20" s="23"/>
      <c r="S20" s="22"/>
      <c r="T20" s="7"/>
      <c r="U20" s="21" t="s">
        <v>31</v>
      </c>
      <c r="V20" s="22"/>
      <c r="W20" s="37">
        <v>15.0</v>
      </c>
      <c r="X20" s="38" t="s">
        <v>26</v>
      </c>
      <c r="Y20" s="39"/>
      <c r="Z20" s="40"/>
      <c r="AA20" s="41">
        <v>3.0</v>
      </c>
      <c r="AB20" s="42"/>
      <c r="AC20" s="36"/>
      <c r="AD20" s="7"/>
    </row>
    <row r="21" ht="12.0" customHeight="1">
      <c r="A21" s="13" t="s">
        <v>32</v>
      </c>
      <c r="B21" s="14"/>
      <c r="C21" s="44">
        <v>8.0</v>
      </c>
      <c r="D21" s="45">
        <f>CEILING((35%*N8),5)</f>
        <v>0</v>
      </c>
      <c r="E21" s="17" t="s">
        <v>10</v>
      </c>
      <c r="F21" s="46">
        <f>CEILING((40%*N8),5)</f>
        <v>0</v>
      </c>
      <c r="G21" s="47">
        <v>3.0</v>
      </c>
      <c r="H21" s="48"/>
      <c r="I21" s="14"/>
      <c r="J21" s="7"/>
      <c r="K21" s="55" t="s">
        <v>33</v>
      </c>
      <c r="L21" s="56"/>
      <c r="M21" s="44">
        <v>8.0</v>
      </c>
      <c r="N21" s="45">
        <f>CEILING((22.5%*Q8),5)</f>
        <v>0</v>
      </c>
      <c r="O21" s="47" t="s">
        <v>10</v>
      </c>
      <c r="P21" s="46">
        <f>CEILING((25%*Q8),5)</f>
        <v>0</v>
      </c>
      <c r="Q21" s="47">
        <v>3.0</v>
      </c>
      <c r="R21" s="48"/>
      <c r="S21" s="14"/>
      <c r="T21" s="7"/>
      <c r="U21" s="13" t="s">
        <v>34</v>
      </c>
      <c r="V21" s="14"/>
      <c r="W21" s="15">
        <v>8.0</v>
      </c>
      <c r="X21" s="16">
        <f>CEILING((30%*N8),5)</f>
        <v>0</v>
      </c>
      <c r="Y21" s="19" t="s">
        <v>10</v>
      </c>
      <c r="Z21" s="18">
        <f>CEILING((33%*N8),5)</f>
        <v>0</v>
      </c>
      <c r="AA21" s="19">
        <v>3.0</v>
      </c>
      <c r="AB21" s="48"/>
      <c r="AC21" s="14"/>
      <c r="AD21" s="7"/>
    </row>
    <row r="22" ht="12.0" customHeight="1">
      <c r="A22" s="24" t="s">
        <v>14</v>
      </c>
      <c r="B22" s="22"/>
      <c r="C22" s="25"/>
      <c r="D22" s="26"/>
      <c r="E22" s="27"/>
      <c r="F22" s="28"/>
      <c r="G22" s="27"/>
      <c r="H22" s="49"/>
      <c r="I22" s="22"/>
      <c r="J22" s="7"/>
      <c r="K22" s="24" t="s">
        <v>14</v>
      </c>
      <c r="L22" s="22"/>
      <c r="M22" s="25"/>
      <c r="N22" s="26"/>
      <c r="O22" s="27"/>
      <c r="P22" s="28"/>
      <c r="Q22" s="27"/>
      <c r="R22" s="23"/>
      <c r="S22" s="22"/>
      <c r="T22" s="7"/>
      <c r="U22" s="24" t="s">
        <v>14</v>
      </c>
      <c r="V22" s="22"/>
      <c r="W22" s="25"/>
      <c r="X22" s="26"/>
      <c r="Y22" s="27"/>
      <c r="Z22" s="28"/>
      <c r="AA22" s="27"/>
      <c r="AB22" s="23"/>
      <c r="AC22" s="22"/>
      <c r="AD22" s="7"/>
    </row>
    <row r="23" ht="12.0" customHeight="1">
      <c r="A23" s="21" t="s">
        <v>35</v>
      </c>
      <c r="B23" s="22"/>
      <c r="C23" s="30">
        <v>8.0</v>
      </c>
      <c r="D23" s="26">
        <f>CEILING((17.5%*N8),5)</f>
        <v>0</v>
      </c>
      <c r="E23" s="27" t="s">
        <v>10</v>
      </c>
      <c r="F23" s="28">
        <f>CEILING((22.5%*N8),5)</f>
        <v>0</v>
      </c>
      <c r="G23" s="27">
        <v>3.0</v>
      </c>
      <c r="H23" s="29"/>
      <c r="I23" s="22"/>
      <c r="J23" s="7"/>
      <c r="K23" s="21" t="s">
        <v>36</v>
      </c>
      <c r="L23" s="22"/>
      <c r="M23" s="30">
        <v>8.0</v>
      </c>
      <c r="N23" s="26">
        <f>CEILING((19%*Q8),5)</f>
        <v>0</v>
      </c>
      <c r="O23" s="27" t="s">
        <v>10</v>
      </c>
      <c r="P23" s="28">
        <f>CEILING((22%*Q8),5)</f>
        <v>0</v>
      </c>
      <c r="Q23" s="27">
        <v>3.0</v>
      </c>
      <c r="R23" s="23"/>
      <c r="S23" s="22"/>
      <c r="T23" s="7"/>
      <c r="U23" s="21" t="s">
        <v>37</v>
      </c>
      <c r="V23" s="22"/>
      <c r="W23" s="30">
        <v>8.0</v>
      </c>
      <c r="X23" s="26">
        <f>CEILING((18%*N8),5)</f>
        <v>0</v>
      </c>
      <c r="Y23" s="27" t="s">
        <v>10</v>
      </c>
      <c r="Z23" s="28">
        <f>CEILING((21%*N8),5)</f>
        <v>0</v>
      </c>
      <c r="AA23" s="27">
        <v>3.0</v>
      </c>
      <c r="AB23" s="23"/>
      <c r="AC23" s="22"/>
      <c r="AD23" s="7"/>
    </row>
    <row r="24" ht="12.0" customHeight="1">
      <c r="A24" s="24" t="s">
        <v>14</v>
      </c>
      <c r="B24" s="22"/>
      <c r="C24" s="33"/>
      <c r="D24" s="26"/>
      <c r="E24" s="27"/>
      <c r="F24" s="28"/>
      <c r="G24" s="34"/>
      <c r="H24" s="29"/>
      <c r="I24" s="22"/>
      <c r="J24" s="7"/>
      <c r="K24" s="24" t="s">
        <v>14</v>
      </c>
      <c r="L24" s="22"/>
      <c r="M24" s="33"/>
      <c r="N24" s="26"/>
      <c r="O24" s="27"/>
      <c r="P24" s="28"/>
      <c r="Q24" s="34"/>
      <c r="R24" s="23"/>
      <c r="S24" s="22"/>
      <c r="T24" s="7"/>
      <c r="U24" s="24" t="s">
        <v>14</v>
      </c>
      <c r="V24" s="22"/>
      <c r="W24" s="33"/>
      <c r="X24" s="26"/>
      <c r="Y24" s="27"/>
      <c r="Z24" s="28"/>
      <c r="AA24" s="34"/>
      <c r="AB24" s="23"/>
      <c r="AC24" s="22"/>
      <c r="AD24" s="7"/>
    </row>
    <row r="25" ht="12.0" customHeight="1">
      <c r="A25" s="35" t="s">
        <v>38</v>
      </c>
      <c r="B25" s="36"/>
      <c r="C25" s="37">
        <v>15.0</v>
      </c>
      <c r="D25" s="38" t="s">
        <v>39</v>
      </c>
      <c r="E25" s="39"/>
      <c r="F25" s="40"/>
      <c r="G25" s="41">
        <v>3.0</v>
      </c>
      <c r="H25" s="42"/>
      <c r="I25" s="36"/>
      <c r="J25" s="7"/>
      <c r="K25" s="35" t="s">
        <v>40</v>
      </c>
      <c r="L25" s="36"/>
      <c r="M25" s="37" t="s">
        <v>41</v>
      </c>
      <c r="N25" s="38" t="s">
        <v>17</v>
      </c>
      <c r="O25" s="39"/>
      <c r="P25" s="40"/>
      <c r="Q25" s="41">
        <v>3.0</v>
      </c>
      <c r="R25" s="42"/>
      <c r="S25" s="36"/>
      <c r="T25" s="7"/>
      <c r="U25" s="21" t="s">
        <v>42</v>
      </c>
      <c r="V25" s="22"/>
      <c r="W25" s="37">
        <v>12.0</v>
      </c>
      <c r="X25" s="38" t="s">
        <v>17</v>
      </c>
      <c r="Y25" s="39"/>
      <c r="Z25" s="40"/>
      <c r="AA25" s="41">
        <v>3.0</v>
      </c>
      <c r="AB25" s="42"/>
      <c r="AC25" s="36"/>
      <c r="AD25" s="7"/>
    </row>
    <row r="26" ht="12.0" customHeight="1">
      <c r="A26" s="55" t="s">
        <v>43</v>
      </c>
      <c r="B26" s="56"/>
      <c r="C26" s="15">
        <v>8.0</v>
      </c>
      <c r="D26" s="16">
        <f>CEILING((25%*Q8),5)</f>
        <v>0</v>
      </c>
      <c r="E26" s="19" t="s">
        <v>10</v>
      </c>
      <c r="F26" s="18">
        <f>CEILING((27.5%*Q8),5)</f>
        <v>0</v>
      </c>
      <c r="G26" s="19">
        <v>3.0</v>
      </c>
      <c r="H26" s="57"/>
      <c r="I26" s="14"/>
      <c r="J26" s="7"/>
      <c r="K26" s="21" t="s">
        <v>44</v>
      </c>
      <c r="L26" s="22"/>
      <c r="M26" s="15">
        <v>8.0</v>
      </c>
      <c r="N26" s="58" t="s">
        <v>17</v>
      </c>
      <c r="O26" s="59"/>
      <c r="P26" s="60"/>
      <c r="Q26" s="19">
        <v>3.0</v>
      </c>
      <c r="R26" s="48"/>
      <c r="S26" s="14"/>
      <c r="T26" s="7"/>
      <c r="U26" s="13" t="s">
        <v>45</v>
      </c>
      <c r="V26" s="14"/>
      <c r="W26" s="15">
        <v>8.0</v>
      </c>
      <c r="X26" s="16">
        <f>CEILING((49%*Q8),5)</f>
        <v>0</v>
      </c>
      <c r="Y26" s="17" t="s">
        <v>10</v>
      </c>
      <c r="Z26" s="18">
        <f>CEILING((52%*Q8),5)</f>
        <v>0</v>
      </c>
      <c r="AA26" s="19">
        <v>3.0</v>
      </c>
      <c r="AB26" s="48"/>
      <c r="AC26" s="14"/>
      <c r="AD26" s="7"/>
    </row>
    <row r="27" ht="12.0" customHeight="1">
      <c r="A27" s="24" t="s">
        <v>14</v>
      </c>
      <c r="B27" s="22"/>
      <c r="C27" s="25"/>
      <c r="D27" s="26"/>
      <c r="E27" s="27"/>
      <c r="F27" s="28"/>
      <c r="G27" s="27"/>
      <c r="H27" s="61"/>
      <c r="I27" s="22"/>
      <c r="J27" s="7"/>
      <c r="K27" s="24" t="s">
        <v>14</v>
      </c>
      <c r="L27" s="22"/>
      <c r="M27" s="25"/>
      <c r="N27" s="62"/>
      <c r="O27" s="63"/>
      <c r="P27" s="64"/>
      <c r="Q27" s="27"/>
      <c r="R27" s="23"/>
      <c r="S27" s="22"/>
      <c r="T27" s="7"/>
      <c r="U27" s="24" t="s">
        <v>14</v>
      </c>
      <c r="V27" s="22"/>
      <c r="W27" s="25"/>
      <c r="X27" s="26"/>
      <c r="Y27" s="27"/>
      <c r="Z27" s="28"/>
      <c r="AA27" s="27"/>
      <c r="AB27" s="23"/>
      <c r="AC27" s="22"/>
      <c r="AD27" s="7"/>
    </row>
    <row r="28" ht="12.0" customHeight="1">
      <c r="A28" s="21" t="s">
        <v>46</v>
      </c>
      <c r="B28" s="22"/>
      <c r="C28" s="30">
        <v>8.0</v>
      </c>
      <c r="D28" s="51" t="s">
        <v>47</v>
      </c>
      <c r="E28" s="52"/>
      <c r="F28" s="53"/>
      <c r="G28" s="27">
        <v>3.0</v>
      </c>
      <c r="H28" s="23"/>
      <c r="I28" s="22"/>
      <c r="J28" s="7"/>
      <c r="K28" s="21" t="s">
        <v>48</v>
      </c>
      <c r="L28" s="22"/>
      <c r="M28" s="30">
        <v>10.0</v>
      </c>
      <c r="N28" s="26">
        <f>CEILING((11%*Q8),5)</f>
        <v>0</v>
      </c>
      <c r="O28" s="27" t="s">
        <v>10</v>
      </c>
      <c r="P28" s="28">
        <f>CEILING((13%*Q8),5)</f>
        <v>0</v>
      </c>
      <c r="Q28" s="27">
        <v>3.0</v>
      </c>
      <c r="R28" s="23"/>
      <c r="S28" s="22"/>
      <c r="T28" s="7"/>
      <c r="U28" s="21" t="s">
        <v>49</v>
      </c>
      <c r="V28" s="22"/>
      <c r="W28" s="30">
        <v>8.0</v>
      </c>
      <c r="X28" s="51" t="s">
        <v>47</v>
      </c>
      <c r="Y28" s="52"/>
      <c r="Z28" s="53"/>
      <c r="AA28" s="27">
        <v>3.0</v>
      </c>
      <c r="AB28" s="23"/>
      <c r="AC28" s="22"/>
      <c r="AD28" s="7"/>
    </row>
    <row r="29" ht="12.0" customHeight="1">
      <c r="A29" s="24" t="s">
        <v>14</v>
      </c>
      <c r="B29" s="22"/>
      <c r="C29" s="33"/>
      <c r="D29" s="26"/>
      <c r="E29" s="27"/>
      <c r="F29" s="28"/>
      <c r="G29" s="34"/>
      <c r="H29" s="23"/>
      <c r="I29" s="22"/>
      <c r="J29" s="7"/>
      <c r="K29" s="24" t="s">
        <v>14</v>
      </c>
      <c r="L29" s="22"/>
      <c r="M29" s="65"/>
      <c r="N29" s="62"/>
      <c r="O29" s="63"/>
      <c r="P29" s="64"/>
      <c r="Q29" s="66"/>
      <c r="R29" s="67"/>
      <c r="S29" s="56"/>
      <c r="T29" s="7"/>
      <c r="U29" s="24" t="s">
        <v>14</v>
      </c>
      <c r="V29" s="22"/>
      <c r="W29" s="33"/>
      <c r="X29" s="26"/>
      <c r="Y29" s="27"/>
      <c r="Z29" s="28"/>
      <c r="AA29" s="34"/>
      <c r="AB29" s="23"/>
      <c r="AC29" s="22"/>
      <c r="AD29" s="7"/>
    </row>
    <row r="30" ht="12.0" customHeight="1">
      <c r="A30" s="21" t="s">
        <v>50</v>
      </c>
      <c r="B30" s="22"/>
      <c r="C30" s="37">
        <v>8.0</v>
      </c>
      <c r="D30" s="68">
        <f>CEILING((14.5%*Q8),5)</f>
        <v>0</v>
      </c>
      <c r="E30" s="41" t="s">
        <v>10</v>
      </c>
      <c r="F30" s="69">
        <f>CEILING((17.5%*Q8),5)</f>
        <v>0</v>
      </c>
      <c r="G30" s="41">
        <v>3.0</v>
      </c>
      <c r="H30" s="70"/>
      <c r="I30" s="36"/>
      <c r="J30" s="7"/>
      <c r="K30" s="35" t="s">
        <v>51</v>
      </c>
      <c r="L30" s="36"/>
      <c r="M30" s="37">
        <v>12.0</v>
      </c>
      <c r="N30" s="38" t="s">
        <v>17</v>
      </c>
      <c r="O30" s="39"/>
      <c r="P30" s="40"/>
      <c r="Q30" s="41">
        <v>3.0</v>
      </c>
      <c r="R30" s="42"/>
      <c r="S30" s="36"/>
      <c r="T30" s="7"/>
      <c r="U30" s="21" t="s">
        <v>50</v>
      </c>
      <c r="V30" s="22"/>
      <c r="W30" s="37">
        <v>8.0</v>
      </c>
      <c r="X30" s="68">
        <f>CEILING((14.5%*Q8),5)</f>
        <v>0</v>
      </c>
      <c r="Y30" s="41" t="s">
        <v>10</v>
      </c>
      <c r="Z30" s="69">
        <f>CEILING((17.5%*Q8),5)</f>
        <v>0</v>
      </c>
      <c r="AA30" s="41">
        <v>3.0</v>
      </c>
      <c r="AB30" s="42"/>
      <c r="AC30" s="36"/>
      <c r="AD30" s="7"/>
    </row>
    <row r="31" ht="12.0" customHeight="1">
      <c r="A31" s="13"/>
      <c r="B31" s="14"/>
      <c r="C31" s="15"/>
      <c r="D31" s="16"/>
      <c r="E31" s="19"/>
      <c r="F31" s="18"/>
      <c r="G31" s="19"/>
      <c r="H31" s="57"/>
      <c r="I31" s="14"/>
      <c r="J31" s="7"/>
      <c r="K31" s="71"/>
      <c r="L31" s="14"/>
      <c r="M31" s="15"/>
      <c r="N31" s="16"/>
      <c r="O31" s="19"/>
      <c r="P31" s="18"/>
      <c r="Q31" s="19"/>
      <c r="R31" s="48"/>
      <c r="S31" s="14"/>
      <c r="T31" s="7"/>
      <c r="U31" s="72" t="s">
        <v>52</v>
      </c>
      <c r="V31" s="59"/>
      <c r="W31" s="25"/>
      <c r="X31" s="73"/>
      <c r="Y31" s="73"/>
      <c r="Z31" s="74"/>
      <c r="AA31" s="19"/>
      <c r="AB31" s="48"/>
      <c r="AC31" s="14"/>
      <c r="AD31" s="7"/>
    </row>
    <row r="32" ht="12.0" customHeight="1">
      <c r="A32" s="21"/>
      <c r="B32" s="22"/>
      <c r="C32" s="25"/>
      <c r="D32" s="26"/>
      <c r="E32" s="27"/>
      <c r="F32" s="28"/>
      <c r="G32" s="27"/>
      <c r="H32" s="23"/>
      <c r="I32" s="22"/>
      <c r="J32" s="7"/>
      <c r="K32" s="24"/>
      <c r="L32" s="22"/>
      <c r="M32" s="33"/>
      <c r="N32" s="26"/>
      <c r="O32" s="27"/>
      <c r="P32" s="28"/>
      <c r="Q32" s="34"/>
      <c r="R32" s="23"/>
      <c r="S32" s="22"/>
      <c r="T32" s="7"/>
      <c r="U32" s="21" t="s">
        <v>53</v>
      </c>
      <c r="V32" s="22"/>
      <c r="W32" s="25">
        <v>5.0</v>
      </c>
      <c r="X32" s="75">
        <f>CEILING((62.5%*(90%*(N8*45%))),5)</f>
        <v>0</v>
      </c>
      <c r="Y32" s="27" t="s">
        <v>10</v>
      </c>
      <c r="Z32" s="28">
        <f>CEILING((67.5%*(90%*(N8*45%))),5)</f>
        <v>0</v>
      </c>
      <c r="AA32" s="27">
        <v>1.0</v>
      </c>
      <c r="AB32" s="23"/>
      <c r="AC32" s="22"/>
      <c r="AD32" s="7"/>
    </row>
    <row r="33" ht="12.0" customHeight="1">
      <c r="A33" s="21"/>
      <c r="B33" s="22"/>
      <c r="C33" s="30"/>
      <c r="D33" s="26"/>
      <c r="E33" s="27"/>
      <c r="F33" s="28"/>
      <c r="G33" s="27"/>
      <c r="H33" s="23"/>
      <c r="I33" s="22"/>
      <c r="J33" s="7"/>
      <c r="K33" s="24"/>
      <c r="L33" s="22"/>
      <c r="M33" s="33"/>
      <c r="N33" s="26"/>
      <c r="O33" s="27"/>
      <c r="P33" s="28"/>
      <c r="Q33" s="34"/>
      <c r="R33" s="23"/>
      <c r="S33" s="22"/>
      <c r="T33" s="7"/>
      <c r="U33" s="76"/>
      <c r="V33" s="22"/>
      <c r="W33" s="30">
        <v>5.0</v>
      </c>
      <c r="X33" s="26">
        <f>CEILING((67.5%*(90%*(N8*45%))),5)</f>
        <v>0</v>
      </c>
      <c r="Y33" s="27" t="s">
        <v>10</v>
      </c>
      <c r="Z33" s="28">
        <f>CEILING((72.5%*(90%*(N8*45%))),5)</f>
        <v>0</v>
      </c>
      <c r="AA33" s="27">
        <v>1.0</v>
      </c>
      <c r="AB33" s="23"/>
      <c r="AC33" s="22"/>
      <c r="AD33" s="7"/>
    </row>
    <row r="34" ht="12.0" customHeight="1">
      <c r="A34" s="24"/>
      <c r="B34" s="22"/>
      <c r="C34" s="33"/>
      <c r="D34" s="26"/>
      <c r="E34" s="27"/>
      <c r="F34" s="28"/>
      <c r="G34" s="34"/>
      <c r="H34" s="23"/>
      <c r="I34" s="22"/>
      <c r="J34" s="7"/>
      <c r="K34" s="24"/>
      <c r="L34" s="22"/>
      <c r="M34" s="33"/>
      <c r="N34" s="26"/>
      <c r="O34" s="27"/>
      <c r="P34" s="28"/>
      <c r="Q34" s="34"/>
      <c r="R34" s="23"/>
      <c r="S34" s="22"/>
      <c r="T34" s="7"/>
      <c r="U34" s="24"/>
      <c r="V34" s="22"/>
      <c r="W34" s="33">
        <v>5.0</v>
      </c>
      <c r="X34" s="26">
        <f>CEILING((72.5%*(90%*(N8*45%))),5)</f>
        <v>0</v>
      </c>
      <c r="Y34" s="27" t="s">
        <v>10</v>
      </c>
      <c r="Z34" s="28">
        <f>CEILING((77.5%*(90%*(N8*45%))),5)</f>
        <v>0</v>
      </c>
      <c r="AA34" s="54">
        <v>1.0</v>
      </c>
      <c r="AB34" s="23"/>
      <c r="AC34" s="22"/>
      <c r="AD34" s="7"/>
    </row>
    <row r="35" ht="12.0" customHeight="1">
      <c r="A35" s="35"/>
      <c r="B35" s="36"/>
      <c r="C35" s="37"/>
      <c r="D35" s="68"/>
      <c r="E35" s="41"/>
      <c r="F35" s="69"/>
      <c r="G35" s="41"/>
      <c r="H35" s="42"/>
      <c r="I35" s="36"/>
      <c r="J35" s="7"/>
      <c r="K35" s="35"/>
      <c r="L35" s="36"/>
      <c r="M35" s="37"/>
      <c r="N35" s="68"/>
      <c r="O35" s="41"/>
      <c r="P35" s="69"/>
      <c r="Q35" s="41"/>
      <c r="R35" s="42"/>
      <c r="S35" s="36"/>
      <c r="T35" s="7"/>
      <c r="U35" s="35"/>
      <c r="V35" s="36"/>
      <c r="W35" s="37"/>
      <c r="X35" s="68"/>
      <c r="Y35" s="41"/>
      <c r="Z35" s="69"/>
      <c r="AA35" s="41"/>
      <c r="AB35" s="42"/>
      <c r="AC35" s="36"/>
      <c r="AD35" s="7"/>
    </row>
    <row r="36" ht="12.0" customHeight="1">
      <c r="A36" s="77" t="s">
        <v>54</v>
      </c>
      <c r="B36" s="14"/>
      <c r="C36" s="15"/>
      <c r="D36" s="16"/>
      <c r="E36" s="19"/>
      <c r="F36" s="18"/>
      <c r="G36" s="19"/>
      <c r="H36" s="57"/>
      <c r="I36" s="14"/>
      <c r="J36" s="7"/>
      <c r="K36" s="77" t="s">
        <v>54</v>
      </c>
      <c r="L36" s="14"/>
      <c r="M36" s="15"/>
      <c r="N36" s="16"/>
      <c r="O36" s="19"/>
      <c r="P36" s="18"/>
      <c r="Q36" s="19"/>
      <c r="R36" s="57"/>
      <c r="S36" s="14"/>
      <c r="T36" s="7"/>
      <c r="U36" s="77" t="s">
        <v>54</v>
      </c>
      <c r="V36" s="14"/>
      <c r="W36" s="15"/>
      <c r="X36" s="16"/>
      <c r="Y36" s="19"/>
      <c r="Z36" s="18"/>
      <c r="AA36" s="19"/>
      <c r="AB36" s="57"/>
      <c r="AC36" s="14"/>
      <c r="AD36" s="7"/>
    </row>
    <row r="37" ht="15.0" customHeight="1">
      <c r="A37" s="21" t="s">
        <v>55</v>
      </c>
      <c r="B37" s="22"/>
      <c r="C37" s="25" t="s">
        <v>56</v>
      </c>
      <c r="D37" s="26"/>
      <c r="E37" s="27"/>
      <c r="F37" s="28"/>
      <c r="G37" s="27">
        <v>1.0</v>
      </c>
      <c r="H37" s="23"/>
      <c r="I37" s="22"/>
      <c r="J37" s="7"/>
      <c r="K37" s="21" t="s">
        <v>57</v>
      </c>
      <c r="L37" s="22"/>
      <c r="M37" s="25" t="s">
        <v>56</v>
      </c>
      <c r="N37" s="26"/>
      <c r="O37" s="27"/>
      <c r="P37" s="28"/>
      <c r="Q37" s="27">
        <v>2.0</v>
      </c>
      <c r="R37" s="23"/>
      <c r="S37" s="22"/>
      <c r="T37" s="7"/>
      <c r="U37" s="21" t="s">
        <v>55</v>
      </c>
      <c r="V37" s="22"/>
      <c r="W37" s="25" t="s">
        <v>56</v>
      </c>
      <c r="X37" s="26"/>
      <c r="Y37" s="27"/>
      <c r="Z37" s="28"/>
      <c r="AA37" s="27">
        <v>1.0</v>
      </c>
      <c r="AB37" s="23"/>
      <c r="AC37" s="22"/>
      <c r="AD37" s="7"/>
    </row>
    <row r="38" ht="12.0" customHeight="1">
      <c r="A38" s="21"/>
      <c r="B38" s="22"/>
      <c r="C38" s="30"/>
      <c r="D38" s="26"/>
      <c r="E38" s="27"/>
      <c r="F38" s="28"/>
      <c r="G38" s="27"/>
      <c r="H38" s="23"/>
      <c r="I38" s="22"/>
      <c r="J38" s="7"/>
      <c r="K38" s="21"/>
      <c r="L38" s="22"/>
      <c r="M38" s="30"/>
      <c r="N38" s="26"/>
      <c r="O38" s="27"/>
      <c r="P38" s="28"/>
      <c r="Q38" s="27"/>
      <c r="R38" s="23"/>
      <c r="S38" s="22"/>
      <c r="T38" s="7"/>
      <c r="U38" s="21"/>
      <c r="V38" s="22"/>
      <c r="W38" s="30"/>
      <c r="X38" s="26"/>
      <c r="Y38" s="27"/>
      <c r="Z38" s="28"/>
      <c r="AA38" s="27"/>
      <c r="AB38" s="23"/>
      <c r="AC38" s="22"/>
      <c r="AD38" s="7"/>
    </row>
    <row r="39" ht="15.0" customHeight="1">
      <c r="A39" s="21" t="s">
        <v>58</v>
      </c>
      <c r="B39" s="22"/>
      <c r="C39" s="33" t="s">
        <v>56</v>
      </c>
      <c r="D39" s="26"/>
      <c r="E39" s="27"/>
      <c r="F39" s="28"/>
      <c r="G39" s="34">
        <v>2.0</v>
      </c>
      <c r="H39" s="23"/>
      <c r="I39" s="22"/>
      <c r="J39" s="7"/>
      <c r="K39" s="21" t="s">
        <v>58</v>
      </c>
      <c r="L39" s="22"/>
      <c r="M39" s="33" t="s">
        <v>56</v>
      </c>
      <c r="N39" s="26"/>
      <c r="O39" s="27"/>
      <c r="P39" s="28"/>
      <c r="Q39" s="34">
        <v>2.0</v>
      </c>
      <c r="R39" s="23"/>
      <c r="S39" s="22"/>
      <c r="T39" s="7"/>
      <c r="U39" s="21" t="s">
        <v>59</v>
      </c>
      <c r="V39" s="22"/>
      <c r="W39" s="33" t="s">
        <v>56</v>
      </c>
      <c r="X39" s="26"/>
      <c r="Y39" s="27"/>
      <c r="Z39" s="28"/>
      <c r="AA39" s="34">
        <v>2.0</v>
      </c>
      <c r="AB39" s="23"/>
      <c r="AC39" s="22"/>
      <c r="AD39" s="7"/>
    </row>
    <row r="40" ht="12.0" customHeight="1">
      <c r="A40" s="35"/>
      <c r="B40" s="36"/>
      <c r="C40" s="37"/>
      <c r="D40" s="68"/>
      <c r="E40" s="41"/>
      <c r="F40" s="69"/>
      <c r="G40" s="41"/>
      <c r="H40" s="42"/>
      <c r="I40" s="36"/>
      <c r="J40" s="7"/>
      <c r="K40" s="35"/>
      <c r="L40" s="36"/>
      <c r="M40" s="37"/>
      <c r="N40" s="68"/>
      <c r="O40" s="41"/>
      <c r="P40" s="69"/>
      <c r="Q40" s="41"/>
      <c r="R40" s="42"/>
      <c r="S40" s="36"/>
      <c r="T40" s="7"/>
      <c r="U40" s="35"/>
      <c r="V40" s="36"/>
      <c r="W40" s="37"/>
      <c r="X40" s="68"/>
      <c r="Y40" s="41"/>
      <c r="Z40" s="69"/>
      <c r="AA40" s="41"/>
      <c r="AB40" s="42"/>
      <c r="AC40" s="36"/>
      <c r="AD40" s="7"/>
    </row>
    <row r="41" ht="12.0" customHeight="1">
      <c r="A41" s="71"/>
      <c r="B41" s="14"/>
      <c r="C41" s="15"/>
      <c r="D41" s="16"/>
      <c r="E41" s="19"/>
      <c r="F41" s="18"/>
      <c r="G41" s="19"/>
      <c r="H41" s="48"/>
      <c r="I41" s="14"/>
      <c r="J41" s="7"/>
      <c r="K41" s="71"/>
      <c r="L41" s="14"/>
      <c r="M41" s="15"/>
      <c r="N41" s="16"/>
      <c r="O41" s="19"/>
      <c r="P41" s="18"/>
      <c r="Q41" s="19"/>
      <c r="R41" s="48"/>
      <c r="S41" s="14"/>
      <c r="T41" s="7"/>
      <c r="U41" s="71"/>
      <c r="V41" s="14"/>
      <c r="W41" s="15"/>
      <c r="X41" s="16"/>
      <c r="Y41" s="19"/>
      <c r="Z41" s="18"/>
      <c r="AA41" s="19"/>
      <c r="AB41" s="48"/>
      <c r="AC41" s="14"/>
      <c r="AD41" s="7"/>
    </row>
    <row r="42" ht="15.0" customHeight="1">
      <c r="A42" s="78"/>
      <c r="B42" s="22"/>
      <c r="C42" s="33"/>
      <c r="D42" s="79"/>
      <c r="E42" s="79"/>
      <c r="F42" s="79"/>
      <c r="G42" s="80"/>
      <c r="H42" s="81"/>
      <c r="I42" s="22"/>
      <c r="J42" s="7"/>
      <c r="K42" s="24"/>
      <c r="L42" s="22"/>
      <c r="M42" s="30"/>
      <c r="N42" s="26"/>
      <c r="O42" s="27"/>
      <c r="P42" s="28"/>
      <c r="Q42" s="27"/>
      <c r="R42" s="23"/>
      <c r="S42" s="22"/>
      <c r="T42" s="7"/>
      <c r="U42" s="24"/>
      <c r="V42" s="22"/>
      <c r="W42" s="30"/>
      <c r="X42" s="26"/>
      <c r="Y42" s="27"/>
      <c r="Z42" s="28"/>
      <c r="AA42" s="27"/>
      <c r="AB42" s="23"/>
      <c r="AC42" s="22"/>
      <c r="AD42" s="7"/>
    </row>
    <row r="43" ht="12.0" customHeight="1">
      <c r="A43" s="78"/>
      <c r="B43" s="22"/>
      <c r="C43" s="33"/>
      <c r="D43" s="82"/>
      <c r="E43" s="82"/>
      <c r="F43" s="82"/>
      <c r="G43" s="80"/>
      <c r="H43" s="83"/>
      <c r="I43" s="22"/>
      <c r="J43" s="7"/>
      <c r="K43" s="76"/>
      <c r="L43" s="22"/>
      <c r="M43" s="30"/>
      <c r="N43" s="26"/>
      <c r="O43" s="27"/>
      <c r="P43" s="28"/>
      <c r="Q43" s="27"/>
      <c r="R43" s="23"/>
      <c r="S43" s="22"/>
      <c r="T43" s="7"/>
      <c r="U43" s="76"/>
      <c r="V43" s="22"/>
      <c r="W43" s="30"/>
      <c r="X43" s="26"/>
      <c r="Y43" s="27"/>
      <c r="Z43" s="28"/>
      <c r="AA43" s="27"/>
      <c r="AB43" s="23"/>
      <c r="AC43" s="22"/>
      <c r="AD43" s="7"/>
    </row>
    <row r="44" ht="12.0" customHeight="1">
      <c r="A44" s="78"/>
      <c r="B44" s="22"/>
      <c r="C44" s="33"/>
      <c r="D44" s="26"/>
      <c r="E44" s="27"/>
      <c r="F44" s="28"/>
      <c r="G44" s="34"/>
      <c r="H44" s="23"/>
      <c r="I44" s="22"/>
      <c r="J44" s="7"/>
      <c r="K44" s="24"/>
      <c r="L44" s="22"/>
      <c r="M44" s="84"/>
      <c r="N44" s="26"/>
      <c r="O44" s="27"/>
      <c r="P44" s="28"/>
      <c r="Q44" s="54"/>
      <c r="R44" s="23"/>
      <c r="S44" s="22"/>
      <c r="T44" s="7"/>
      <c r="U44" s="24"/>
      <c r="V44" s="22"/>
      <c r="W44" s="84"/>
      <c r="X44" s="26"/>
      <c r="Y44" s="27"/>
      <c r="Z44" s="28"/>
      <c r="AA44" s="54"/>
      <c r="AB44" s="23"/>
      <c r="AC44" s="22"/>
      <c r="AD44" s="7"/>
    </row>
    <row r="45" ht="12.0" customHeight="1">
      <c r="A45" s="85"/>
      <c r="B45" s="36"/>
      <c r="C45" s="37"/>
      <c r="D45" s="68"/>
      <c r="E45" s="41"/>
      <c r="F45" s="69"/>
      <c r="G45" s="41"/>
      <c r="H45" s="42"/>
      <c r="I45" s="36"/>
      <c r="J45" s="7"/>
      <c r="K45" s="86"/>
      <c r="L45" s="36"/>
      <c r="M45" s="37"/>
      <c r="N45" s="68"/>
      <c r="O45" s="41"/>
      <c r="P45" s="69"/>
      <c r="Q45" s="41"/>
      <c r="R45" s="42"/>
      <c r="S45" s="36"/>
      <c r="T45" s="7"/>
      <c r="U45" s="87" t="s">
        <v>60</v>
      </c>
      <c r="V45" s="39"/>
      <c r="W45" s="39"/>
      <c r="X45" s="39"/>
      <c r="Y45" s="39"/>
      <c r="Z45" s="39"/>
      <c r="AA45" s="39"/>
      <c r="AB45" s="39"/>
      <c r="AC45" s="36"/>
      <c r="AD45" s="7"/>
    </row>
    <row r="46" ht="12.0" customHeight="1">
      <c r="A46" s="88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</row>
    <row r="47" ht="12.0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</row>
    <row r="48" ht="12.0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</row>
    <row r="49" ht="12.0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</row>
    <row r="50" ht="12.0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</row>
    <row r="51" ht="12.0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</row>
    <row r="52" ht="12.0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</row>
    <row r="53" ht="12.0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</row>
    <row r="54" ht="12.0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</row>
    <row r="55" ht="12.0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</row>
    <row r="56" ht="12.0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</row>
    <row r="57" ht="12.0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</row>
    <row r="58" ht="12.0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</row>
    <row r="59" ht="12.0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</row>
    <row r="60" ht="12.0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</row>
    <row r="61" ht="12.0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</row>
    <row r="62" ht="12.0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</row>
    <row r="63" ht="12.0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</row>
    <row r="64" ht="12.0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</row>
    <row r="65" ht="12.0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</row>
    <row r="66" ht="12.0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</row>
    <row r="67" ht="12.0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</row>
    <row r="68" ht="12.0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</row>
    <row r="69" ht="12.0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</row>
    <row r="70" ht="12.0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</row>
    <row r="71" ht="12.0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</row>
    <row r="72" ht="12.0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</row>
    <row r="73" ht="12.0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</row>
    <row r="74" ht="12.0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</row>
    <row r="75" ht="12.0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</row>
    <row r="76" ht="12.0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</row>
    <row r="77" ht="12.0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</row>
    <row r="78" ht="12.0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</row>
    <row r="79" ht="12.0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</row>
    <row r="80" ht="12.0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</row>
    <row r="81" ht="12.0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</row>
    <row r="82" ht="12.0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</row>
    <row r="83" ht="12.0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</row>
    <row r="84" ht="12.0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</row>
    <row r="85" ht="12.0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</row>
    <row r="86" ht="12.0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</row>
    <row r="87" ht="12.0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</row>
    <row r="88" ht="12.0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</row>
    <row r="89" ht="12.0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</row>
    <row r="90" ht="12.0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</row>
    <row r="91" ht="12.0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</row>
    <row r="92" ht="12.0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</row>
    <row r="93" ht="12.0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</row>
    <row r="94" ht="12.0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</row>
    <row r="95" ht="12.0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</row>
    <row r="96" ht="12.0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</row>
    <row r="97" ht="12.0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</row>
    <row r="98" ht="12.0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</row>
    <row r="99" ht="12.0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</row>
    <row r="100" ht="12.0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</row>
    <row r="101" ht="12.0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</row>
    <row r="102" ht="12.0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</row>
    <row r="103" ht="12.0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</row>
    <row r="104" ht="12.0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</row>
    <row r="105" ht="12.0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</row>
    <row r="106" ht="12.0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</row>
    <row r="107" ht="12.0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</row>
    <row r="108" ht="12.0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</row>
    <row r="109" ht="12.0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</row>
    <row r="110" ht="12.0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</row>
    <row r="111" ht="12.0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</row>
    <row r="112" ht="12.0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</row>
    <row r="113" ht="12.0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ht="12.0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ht="12.0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ht="12.0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ht="12.0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ht="12.0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ht="12.0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ht="12.0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ht="12.0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ht="12.0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ht="12.0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ht="12.0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ht="12.0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ht="12.0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ht="12.0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ht="12.0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ht="12.0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ht="12.0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ht="12.0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ht="12.0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ht="12.0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ht="12.0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ht="12.0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ht="12.0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ht="12.0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ht="12.0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ht="12.0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ht="12.0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ht="12.0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ht="12.0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ht="12.0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ht="12.0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ht="12.0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ht="12.0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ht="12.0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ht="12.0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ht="12.0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ht="12.0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ht="12.0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ht="12.0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ht="12.0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ht="12.0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ht="12.0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ht="12.0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ht="12.0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ht="12.0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ht="12.0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ht="12.0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ht="12.0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ht="12.0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ht="12.0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ht="12.0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ht="12.0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ht="12.0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ht="12.0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ht="12.0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ht="12.0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ht="12.0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ht="12.0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ht="12.0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ht="12.0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ht="12.0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ht="12.0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ht="12.0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ht="12.0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ht="12.0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ht="12.0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ht="12.0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ht="12.0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ht="12.0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ht="12.0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ht="12.0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ht="12.0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ht="12.0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ht="12.0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ht="12.0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ht="12.0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ht="12.0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ht="12.0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ht="12.0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ht="12.0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ht="12.0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ht="12.0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ht="12.0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ht="12.0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ht="12.0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ht="12.0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ht="12.0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ht="12.0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ht="12.0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ht="12.0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ht="12.0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ht="12.0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ht="12.0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ht="12.0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ht="12.0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ht="12.0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ht="12.0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ht="12.0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ht="12.0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ht="12.0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ht="12.0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ht="12.0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ht="12.0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ht="12.0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ht="12.0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ht="12.0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ht="12.0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ht="12.0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ht="12.0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ht="12.0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ht="12.0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ht="12.0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ht="12.0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ht="12.0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ht="12.0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ht="12.0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ht="12.0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ht="12.0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ht="12.0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ht="12.0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ht="12.0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ht="12.0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ht="12.0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ht="12.0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ht="12.0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ht="12.0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ht="12.0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ht="12.0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ht="12.0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ht="12.0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ht="12.0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ht="12.0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ht="12.0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ht="12.0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ht="12.0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ht="12.0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ht="12.0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ht="12.0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ht="12.0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ht="12.0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ht="12.0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ht="12.0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ht="12.0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ht="12.0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ht="12.0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ht="12.0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ht="12.0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ht="12.0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ht="12.0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ht="12.0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ht="12.0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ht="12.0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ht="12.0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ht="12.0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ht="12.0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ht="12.0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ht="12.0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ht="12.0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ht="12.0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ht="12.0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ht="12.0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ht="12.0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ht="12.0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ht="12.0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ht="12.0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ht="12.0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ht="12.0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ht="12.0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ht="12.0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ht="12.0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ht="12.0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ht="12.0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ht="12.0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ht="12.0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ht="12.0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ht="12.0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ht="12.0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ht="12.0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ht="12.0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ht="12.0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ht="12.0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ht="12.0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ht="12.0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ht="12.0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ht="12.0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ht="12.0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ht="12.0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ht="12.0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ht="12.0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ht="12.0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ht="12.0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ht="12.0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ht="12.0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ht="12.0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ht="12.0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ht="12.0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ht="12.0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ht="12.0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ht="12.0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ht="12.0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ht="12.0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ht="12.0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ht="12.0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ht="12.0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ht="12.0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ht="12.0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ht="12.0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ht="12.0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ht="12.0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ht="12.0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ht="12.0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ht="12.0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ht="12.0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ht="12.0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ht="12.0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ht="12.0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ht="12.0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ht="12.0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ht="12.0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ht="12.0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ht="12.0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ht="12.0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ht="12.0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ht="12.0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ht="12.0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ht="12.0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ht="12.0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ht="12.0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ht="12.0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ht="12.0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ht="12.0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ht="12.0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ht="12.0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ht="12.0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ht="12.0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ht="12.0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ht="12.0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ht="12.0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ht="12.0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ht="12.0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ht="12.0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ht="12.0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ht="12.0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ht="12.0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ht="12.0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ht="12.0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ht="12.0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ht="12.0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ht="12.0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ht="12.0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ht="12.0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ht="12.0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ht="12.0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ht="12.0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ht="12.0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ht="12.0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ht="12.0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ht="12.0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ht="12.0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ht="12.0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ht="12.0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ht="12.0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ht="12.0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ht="12.0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ht="12.0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ht="12.0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ht="12.0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ht="12.0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ht="12.0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ht="12.0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ht="12.0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ht="12.0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ht="12.0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ht="12.0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ht="12.0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ht="12.0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ht="12.0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ht="12.0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ht="12.0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ht="12.0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ht="12.0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ht="12.0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  <row r="396" ht="12.0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</row>
    <row r="397" ht="12.0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</row>
    <row r="398" ht="12.0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</row>
    <row r="399" ht="12.0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</row>
    <row r="400" ht="12.0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</row>
    <row r="401" ht="12.0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</row>
    <row r="402" ht="12.0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</row>
    <row r="403" ht="12.0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</row>
    <row r="404" ht="12.0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</row>
    <row r="405" ht="12.0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</row>
    <row r="406" ht="12.0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</row>
    <row r="407" ht="12.0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</row>
    <row r="408" ht="12.0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</row>
    <row r="409" ht="12.0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</row>
    <row r="410" ht="12.0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</row>
    <row r="411" ht="12.0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</row>
    <row r="412" ht="12.0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</row>
    <row r="413" ht="12.0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</row>
    <row r="414" ht="12.0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</row>
    <row r="415" ht="12.0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</row>
    <row r="416" ht="12.0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</row>
    <row r="417" ht="12.0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</row>
    <row r="418" ht="12.0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</row>
    <row r="419" ht="12.0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</row>
    <row r="420" ht="12.0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</row>
    <row r="421" ht="12.0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</row>
    <row r="422" ht="12.0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</row>
    <row r="423" ht="12.0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</row>
    <row r="424" ht="12.0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</row>
    <row r="425" ht="12.0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</row>
    <row r="426" ht="12.0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</row>
    <row r="427" ht="12.0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</row>
    <row r="428" ht="12.0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</row>
    <row r="429" ht="12.0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</row>
    <row r="430" ht="12.0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</row>
    <row r="431" ht="12.0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</row>
    <row r="432" ht="12.0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</row>
    <row r="433" ht="12.0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</row>
    <row r="434" ht="12.0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</row>
    <row r="435" ht="12.0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</row>
    <row r="436" ht="12.0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</row>
    <row r="437" ht="12.0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</row>
    <row r="438" ht="12.0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</row>
    <row r="439" ht="12.0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</row>
    <row r="440" ht="12.0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</row>
    <row r="441" ht="12.0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</row>
    <row r="442" ht="12.0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</row>
    <row r="443" ht="12.0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</row>
    <row r="444" ht="12.0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</row>
    <row r="445" ht="12.0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</row>
    <row r="446" ht="12.0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</row>
    <row r="447" ht="12.0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</row>
    <row r="448" ht="12.0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</row>
    <row r="449" ht="12.0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</row>
    <row r="450" ht="12.0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</row>
    <row r="451" ht="12.0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</row>
    <row r="452" ht="12.0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</row>
    <row r="453" ht="12.0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</row>
    <row r="454" ht="12.0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</row>
    <row r="455" ht="12.0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</row>
    <row r="456" ht="12.0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</row>
    <row r="457" ht="12.0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</row>
    <row r="458" ht="12.0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</row>
    <row r="459" ht="12.0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</row>
    <row r="460" ht="12.0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</row>
    <row r="461" ht="12.0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</row>
    <row r="462" ht="12.0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</row>
    <row r="463" ht="12.0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</row>
    <row r="464" ht="12.0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</row>
    <row r="465" ht="12.0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</row>
    <row r="466" ht="12.0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</row>
    <row r="467" ht="12.0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</row>
    <row r="468" ht="12.0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</row>
    <row r="469" ht="12.0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</row>
    <row r="470" ht="12.0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</row>
    <row r="471" ht="12.0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</row>
    <row r="472" ht="12.0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</row>
    <row r="473" ht="12.0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</row>
    <row r="474" ht="12.0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</row>
    <row r="475" ht="12.0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</row>
    <row r="476" ht="12.0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</row>
    <row r="477" ht="12.0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</row>
    <row r="478" ht="12.0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</row>
    <row r="479" ht="12.0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</row>
    <row r="480" ht="12.0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</row>
    <row r="481" ht="12.0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</row>
    <row r="482" ht="12.0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</row>
    <row r="483" ht="12.0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</row>
    <row r="484" ht="12.0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</row>
    <row r="485" ht="12.0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</row>
    <row r="486" ht="12.0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</row>
    <row r="487" ht="12.0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</row>
    <row r="488" ht="12.0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</row>
    <row r="489" ht="12.0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</row>
    <row r="490" ht="12.0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</row>
    <row r="491" ht="12.0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</row>
    <row r="492" ht="12.0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</row>
    <row r="493" ht="12.0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</row>
    <row r="494" ht="12.0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</row>
    <row r="495" ht="12.0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</row>
    <row r="496" ht="12.0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</row>
    <row r="497" ht="12.0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</row>
    <row r="498" ht="12.0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</row>
    <row r="499" ht="12.0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</row>
    <row r="500" ht="12.0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</row>
    <row r="501" ht="12.0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</row>
    <row r="502" ht="12.0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</row>
    <row r="503" ht="12.0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</row>
    <row r="504" ht="12.0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</row>
    <row r="505" ht="12.0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</row>
    <row r="506" ht="12.0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</row>
    <row r="507" ht="12.0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</row>
    <row r="508" ht="12.0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</row>
    <row r="509" ht="12.0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</row>
    <row r="510" ht="12.0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</row>
    <row r="511" ht="12.0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</row>
    <row r="512" ht="12.0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</row>
    <row r="513" ht="12.0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</row>
    <row r="514" ht="12.0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</row>
    <row r="515" ht="12.0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</row>
    <row r="516" ht="12.0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</row>
    <row r="517" ht="12.0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</row>
    <row r="518" ht="12.0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</row>
    <row r="519" ht="12.0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</row>
    <row r="520" ht="12.0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</row>
    <row r="521" ht="12.0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</row>
    <row r="522" ht="12.0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</row>
    <row r="523" ht="12.0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</row>
    <row r="524" ht="12.0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</row>
    <row r="525" ht="12.0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</row>
    <row r="526" ht="12.0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</row>
    <row r="527" ht="12.0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</row>
    <row r="528" ht="12.0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</row>
    <row r="529" ht="12.0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</row>
    <row r="530" ht="12.0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</row>
    <row r="531" ht="12.0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</row>
    <row r="532" ht="12.0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</row>
    <row r="533" ht="12.0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</row>
    <row r="534" ht="12.0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</row>
    <row r="535" ht="12.0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</row>
    <row r="536" ht="12.0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</row>
    <row r="537" ht="12.0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</row>
    <row r="538" ht="12.0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</row>
    <row r="539" ht="12.0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</row>
    <row r="540" ht="12.0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</row>
    <row r="541" ht="12.0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</row>
    <row r="542" ht="12.0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</row>
    <row r="543" ht="12.0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</row>
    <row r="544" ht="12.0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</row>
    <row r="545" ht="12.0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</row>
    <row r="546" ht="12.0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</row>
    <row r="547" ht="12.0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</row>
    <row r="548" ht="12.0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</row>
    <row r="549" ht="12.0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</row>
    <row r="550" ht="12.0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</row>
    <row r="551" ht="12.0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</row>
    <row r="552" ht="12.0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</row>
    <row r="553" ht="12.0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</row>
    <row r="554" ht="12.0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</row>
    <row r="555" ht="12.0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</row>
    <row r="556" ht="12.0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</row>
    <row r="557" ht="12.0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</row>
    <row r="558" ht="12.0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</row>
    <row r="559" ht="12.0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</row>
    <row r="560" ht="12.0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</row>
    <row r="561" ht="12.0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</row>
    <row r="562" ht="12.0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</row>
    <row r="563" ht="12.0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</row>
    <row r="564" ht="12.0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</row>
    <row r="565" ht="12.0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</row>
    <row r="566" ht="12.0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</row>
    <row r="567" ht="12.0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</row>
    <row r="568" ht="12.0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</row>
    <row r="569" ht="12.0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</row>
    <row r="570" ht="12.0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</row>
    <row r="571" ht="12.0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</row>
    <row r="572" ht="12.0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</row>
    <row r="573" ht="12.0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</row>
    <row r="574" ht="12.0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</row>
    <row r="575" ht="12.0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</row>
    <row r="576" ht="12.0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</row>
    <row r="577" ht="12.0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</row>
    <row r="578" ht="12.0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</row>
    <row r="579" ht="12.0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</row>
    <row r="580" ht="12.0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</row>
    <row r="581" ht="12.0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</row>
    <row r="582" ht="12.0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</row>
    <row r="583" ht="12.0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</row>
    <row r="584" ht="12.0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</row>
    <row r="585" ht="12.0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</row>
    <row r="586" ht="12.0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</row>
    <row r="587" ht="12.0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</row>
    <row r="588" ht="12.0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</row>
    <row r="589" ht="12.0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</row>
    <row r="590" ht="12.0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</row>
    <row r="591" ht="12.0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</row>
    <row r="592" ht="12.0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</row>
    <row r="593" ht="12.0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</row>
    <row r="594" ht="12.0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</row>
    <row r="595" ht="12.0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</row>
    <row r="596" ht="12.0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</row>
    <row r="597" ht="12.0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</row>
    <row r="598" ht="12.0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</row>
    <row r="599" ht="12.0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</row>
    <row r="600" ht="12.0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</row>
    <row r="601" ht="12.0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</row>
    <row r="602" ht="12.0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</row>
    <row r="603" ht="12.0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</row>
    <row r="604" ht="12.0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</row>
    <row r="605" ht="12.0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</row>
    <row r="606" ht="12.0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</row>
    <row r="607" ht="12.0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</row>
    <row r="608" ht="12.0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</row>
    <row r="609" ht="12.0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</row>
    <row r="610" ht="12.0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</row>
    <row r="611" ht="12.0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</row>
    <row r="612" ht="12.0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</row>
    <row r="613" ht="12.0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</row>
    <row r="614" ht="12.0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</row>
    <row r="615" ht="12.0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</row>
    <row r="616" ht="12.0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</row>
    <row r="617" ht="12.0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</row>
    <row r="618" ht="12.0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</row>
    <row r="619" ht="12.0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</row>
    <row r="620" ht="12.0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</row>
    <row r="621" ht="12.0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</row>
    <row r="622" ht="12.0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</row>
    <row r="623" ht="12.0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</row>
    <row r="624" ht="12.0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</row>
    <row r="625" ht="12.0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</row>
    <row r="626" ht="12.0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</row>
    <row r="627" ht="12.0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</row>
    <row r="628" ht="12.0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</row>
    <row r="629" ht="12.0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</row>
    <row r="630" ht="12.0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</row>
    <row r="631" ht="12.0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</row>
    <row r="632" ht="12.0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</row>
    <row r="633" ht="12.0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</row>
    <row r="634" ht="12.0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</row>
    <row r="635" ht="12.0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</row>
    <row r="636" ht="12.0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</row>
    <row r="637" ht="12.0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</row>
    <row r="638" ht="12.0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</row>
    <row r="639" ht="12.0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</row>
    <row r="640" ht="12.0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</row>
    <row r="641" ht="12.0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</row>
    <row r="642" ht="12.0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</row>
    <row r="643" ht="12.0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</row>
    <row r="644" ht="12.0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</row>
    <row r="645" ht="12.0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</row>
    <row r="646" ht="12.0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</row>
    <row r="647" ht="12.0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</row>
    <row r="648" ht="12.0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</row>
    <row r="649" ht="12.0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</row>
    <row r="650" ht="12.0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</row>
    <row r="651" ht="12.0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</row>
    <row r="652" ht="12.0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</row>
    <row r="653" ht="12.0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</row>
    <row r="654" ht="12.0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</row>
    <row r="655" ht="12.0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</row>
    <row r="656" ht="12.0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</row>
    <row r="657" ht="12.0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</row>
    <row r="658" ht="12.0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</row>
    <row r="659" ht="12.0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</row>
    <row r="660" ht="12.0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</row>
    <row r="661" ht="12.0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</row>
    <row r="662" ht="12.0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</row>
    <row r="663" ht="12.0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</row>
    <row r="664" ht="12.0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</row>
    <row r="665" ht="12.0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</row>
    <row r="666" ht="12.0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</row>
    <row r="667" ht="12.0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</row>
    <row r="668" ht="12.0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</row>
    <row r="669" ht="12.0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</row>
    <row r="670" ht="12.0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</row>
    <row r="671" ht="12.0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</row>
    <row r="672" ht="12.0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</row>
    <row r="673" ht="12.0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</row>
    <row r="674" ht="12.0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</row>
    <row r="675" ht="12.0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</row>
    <row r="676" ht="12.0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</row>
    <row r="677" ht="12.0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</row>
    <row r="678" ht="12.0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</row>
    <row r="679" ht="12.0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</row>
    <row r="680" ht="12.0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</row>
    <row r="681" ht="12.0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</row>
    <row r="682" ht="12.0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</row>
    <row r="683" ht="12.0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</row>
    <row r="684" ht="12.0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</row>
    <row r="685" ht="12.0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</row>
    <row r="686" ht="12.0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</row>
    <row r="687" ht="12.0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</row>
    <row r="688" ht="12.0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</row>
    <row r="689" ht="12.0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</row>
    <row r="690" ht="12.0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</row>
    <row r="691" ht="12.0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</row>
    <row r="692" ht="12.0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</row>
    <row r="693" ht="12.0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</row>
    <row r="694" ht="12.0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</row>
    <row r="695" ht="12.0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</row>
    <row r="696" ht="12.0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</row>
    <row r="697" ht="12.0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</row>
    <row r="698" ht="12.0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</row>
    <row r="699" ht="12.0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</row>
    <row r="700" ht="12.0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</row>
    <row r="701" ht="12.0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</row>
    <row r="702" ht="12.0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</row>
    <row r="703" ht="12.0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</row>
    <row r="704" ht="12.0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</row>
    <row r="705" ht="12.0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</row>
    <row r="706" ht="12.0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</row>
    <row r="707" ht="12.0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</row>
    <row r="708" ht="12.0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</row>
    <row r="709" ht="12.0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</row>
    <row r="710" ht="12.0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</row>
    <row r="711" ht="12.0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</row>
    <row r="712" ht="12.0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</row>
    <row r="713" ht="12.0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</row>
    <row r="714" ht="12.0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</row>
    <row r="715" ht="12.0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</row>
    <row r="716" ht="12.0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</row>
    <row r="717" ht="12.0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</row>
    <row r="718" ht="12.0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</row>
    <row r="719" ht="12.0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</row>
    <row r="720" ht="12.0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</row>
    <row r="721" ht="12.0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</row>
    <row r="722" ht="12.0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</row>
    <row r="723" ht="12.0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</row>
    <row r="724" ht="12.0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</row>
    <row r="725" ht="12.0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</row>
    <row r="726" ht="12.0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</row>
    <row r="727" ht="12.0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</row>
    <row r="728" ht="12.0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</row>
    <row r="729" ht="12.0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</row>
    <row r="730" ht="12.0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</row>
    <row r="731" ht="12.0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</row>
    <row r="732" ht="12.0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</row>
    <row r="733" ht="12.0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</row>
    <row r="734" ht="12.0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</row>
    <row r="735" ht="12.0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</row>
    <row r="736" ht="12.0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</row>
    <row r="737" ht="12.0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</row>
    <row r="738" ht="12.0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</row>
    <row r="739" ht="12.0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</row>
    <row r="740" ht="12.0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</row>
    <row r="741" ht="12.0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</row>
    <row r="742" ht="12.0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</row>
    <row r="743" ht="12.0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</row>
    <row r="744" ht="12.0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</row>
    <row r="745" ht="12.0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</row>
    <row r="746" ht="12.0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</row>
    <row r="747" ht="12.0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</row>
    <row r="748" ht="12.0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</row>
    <row r="749" ht="12.0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</row>
    <row r="750" ht="12.0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</row>
    <row r="751" ht="12.0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</row>
    <row r="752" ht="12.0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</row>
    <row r="753" ht="12.0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</row>
    <row r="754" ht="12.0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</row>
    <row r="755" ht="12.0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</row>
    <row r="756" ht="12.0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</row>
    <row r="757" ht="12.0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</row>
    <row r="758" ht="12.0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</row>
    <row r="759" ht="12.0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</row>
    <row r="760" ht="12.0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</row>
    <row r="761" ht="12.0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</row>
    <row r="762" ht="12.0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</row>
    <row r="763" ht="12.0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</row>
    <row r="764" ht="12.0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</row>
    <row r="765" ht="12.0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</row>
    <row r="766" ht="12.0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</row>
    <row r="767" ht="12.0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</row>
    <row r="768" ht="12.0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</row>
    <row r="769" ht="12.0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</row>
    <row r="770" ht="12.0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</row>
    <row r="771" ht="12.0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</row>
    <row r="772" ht="12.0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</row>
    <row r="773" ht="12.0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</row>
    <row r="774" ht="12.0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</row>
    <row r="775" ht="12.0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</row>
    <row r="776" ht="12.0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</row>
    <row r="777" ht="12.0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</row>
    <row r="778" ht="12.0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</row>
    <row r="779" ht="12.0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</row>
    <row r="780" ht="12.0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</row>
    <row r="781" ht="12.0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</row>
    <row r="782" ht="12.0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</row>
    <row r="783" ht="12.0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</row>
    <row r="784" ht="12.0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</row>
    <row r="785" ht="12.0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</row>
    <row r="786" ht="12.0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</row>
    <row r="787" ht="12.0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</row>
    <row r="788" ht="12.0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</row>
    <row r="789" ht="12.0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</row>
    <row r="790" ht="12.0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</row>
    <row r="791" ht="12.0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</row>
    <row r="792" ht="12.0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</row>
    <row r="793" ht="12.0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</row>
    <row r="794" ht="12.0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</row>
    <row r="795" ht="12.0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</row>
    <row r="796" ht="12.0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</row>
    <row r="797" ht="12.0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</row>
    <row r="798" ht="12.0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</row>
    <row r="799" ht="12.0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</row>
    <row r="800" ht="12.0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</row>
    <row r="801" ht="12.0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</row>
    <row r="802" ht="12.0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</row>
    <row r="803" ht="12.0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</row>
    <row r="804" ht="12.0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</row>
    <row r="805" ht="12.0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</row>
    <row r="806" ht="12.0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</row>
    <row r="807" ht="12.0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</row>
    <row r="808" ht="12.0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</row>
    <row r="809" ht="12.0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</row>
    <row r="810" ht="12.0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</row>
    <row r="811" ht="12.0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</row>
    <row r="812" ht="12.0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</row>
    <row r="813" ht="12.0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</row>
    <row r="814" ht="12.0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</row>
    <row r="815" ht="12.0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</row>
    <row r="816" ht="12.0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</row>
    <row r="817" ht="12.0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</row>
    <row r="818" ht="12.0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</row>
    <row r="819" ht="12.0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</row>
    <row r="820" ht="12.0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</row>
    <row r="821" ht="12.0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</row>
    <row r="822" ht="12.0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</row>
    <row r="823" ht="12.0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</row>
    <row r="824" ht="12.0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</row>
    <row r="825" ht="12.0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</row>
    <row r="826" ht="12.0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</row>
    <row r="827" ht="12.0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</row>
    <row r="828" ht="12.0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</row>
    <row r="829" ht="12.0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</row>
    <row r="830" ht="12.0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</row>
    <row r="831" ht="12.0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</row>
    <row r="832" ht="12.0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</row>
    <row r="833" ht="12.0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</row>
    <row r="834" ht="12.0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</row>
    <row r="835" ht="12.0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</row>
    <row r="836" ht="12.0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</row>
    <row r="837" ht="12.0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</row>
    <row r="838" ht="12.0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</row>
    <row r="839" ht="12.0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</row>
    <row r="840" ht="12.0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</row>
    <row r="841" ht="12.0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</row>
    <row r="842" ht="12.0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</row>
    <row r="843" ht="12.0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</row>
    <row r="844" ht="12.0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</row>
    <row r="845" ht="12.0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</row>
    <row r="846" ht="12.0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</row>
    <row r="847" ht="12.0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</row>
    <row r="848" ht="12.0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</row>
    <row r="849" ht="12.0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</row>
    <row r="850" ht="12.0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</row>
    <row r="851" ht="12.0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</row>
    <row r="852" ht="12.0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</row>
    <row r="853" ht="12.0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</row>
    <row r="854" ht="12.0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</row>
    <row r="855" ht="12.0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</row>
    <row r="856" ht="12.0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</row>
    <row r="857" ht="12.0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</row>
    <row r="858" ht="12.0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</row>
    <row r="859" ht="12.0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</row>
    <row r="860" ht="12.0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</row>
    <row r="861" ht="12.0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</row>
    <row r="862" ht="12.0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</row>
    <row r="863" ht="12.0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</row>
    <row r="864" ht="12.0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</row>
    <row r="865" ht="12.0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</row>
    <row r="866" ht="12.0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</row>
    <row r="867" ht="12.0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</row>
    <row r="868" ht="12.0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</row>
    <row r="869" ht="12.0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</row>
    <row r="870" ht="12.0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</row>
    <row r="871" ht="12.0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</row>
    <row r="872" ht="12.0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</row>
    <row r="873" ht="12.0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</row>
    <row r="874" ht="12.0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</row>
    <row r="875" ht="12.0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</row>
    <row r="876" ht="12.0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</row>
    <row r="877" ht="12.0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</row>
    <row r="878" ht="12.0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</row>
    <row r="879" ht="12.0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</row>
    <row r="880" ht="12.0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</row>
    <row r="881" ht="12.0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</row>
    <row r="882" ht="12.0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</row>
    <row r="883" ht="12.0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</row>
    <row r="884" ht="12.0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</row>
    <row r="885" ht="12.0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</row>
    <row r="886" ht="12.0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</row>
    <row r="887" ht="12.0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</row>
    <row r="888" ht="12.0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</row>
    <row r="889" ht="12.0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</row>
    <row r="890" ht="12.0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</row>
    <row r="891" ht="12.0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</row>
    <row r="892" ht="12.0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</row>
    <row r="893" ht="12.0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</row>
    <row r="894" ht="12.0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</row>
    <row r="895" ht="12.0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</row>
    <row r="896" ht="12.0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</row>
    <row r="897" ht="12.0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</row>
    <row r="898" ht="12.0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</row>
    <row r="899" ht="12.0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</row>
    <row r="900" ht="12.0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</row>
    <row r="901" ht="12.0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</row>
    <row r="902" ht="12.0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</row>
    <row r="903" ht="12.0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</row>
    <row r="904" ht="12.0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</row>
    <row r="905" ht="12.0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</row>
    <row r="906" ht="12.0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</row>
    <row r="907" ht="12.0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</row>
    <row r="908" ht="12.0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</row>
    <row r="909" ht="12.0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</row>
    <row r="910" ht="12.0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</row>
    <row r="911" ht="12.0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</row>
    <row r="912" ht="12.0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</row>
    <row r="913" ht="12.0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</row>
    <row r="914" ht="12.0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</row>
    <row r="915" ht="12.0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</row>
    <row r="916" ht="12.0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</row>
    <row r="917" ht="12.0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</row>
    <row r="918" ht="12.0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</row>
    <row r="919" ht="12.0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</row>
    <row r="920" ht="12.0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</row>
    <row r="921" ht="12.0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</row>
    <row r="922" ht="12.0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</row>
    <row r="923" ht="12.0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</row>
    <row r="924" ht="12.0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</row>
    <row r="925" ht="12.0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</row>
    <row r="926" ht="12.0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</row>
    <row r="927" ht="12.0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</row>
    <row r="928" ht="12.0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</row>
    <row r="929" ht="12.0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</row>
    <row r="930" ht="12.0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</row>
    <row r="931" ht="12.0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</row>
    <row r="932" ht="12.0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</row>
    <row r="933" ht="12.0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</row>
    <row r="934" ht="12.0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</row>
    <row r="935" ht="12.0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</row>
    <row r="936" ht="12.0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</row>
    <row r="937" ht="12.0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</row>
    <row r="938" ht="12.0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</row>
    <row r="939" ht="12.0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</row>
    <row r="940" ht="12.0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</row>
    <row r="941" ht="12.0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</row>
    <row r="942" ht="12.0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</row>
    <row r="943" ht="12.0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</row>
    <row r="944" ht="12.0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</row>
    <row r="945" ht="12.0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</row>
    <row r="946" ht="12.0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</row>
    <row r="947" ht="12.0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</row>
    <row r="948" ht="12.0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</row>
    <row r="949" ht="12.0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</row>
    <row r="950" ht="12.0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</row>
    <row r="951" ht="12.0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</row>
    <row r="952" ht="12.0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</row>
    <row r="953" ht="12.0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</row>
    <row r="954" ht="12.0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</row>
    <row r="955" ht="12.0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</row>
    <row r="956" ht="12.0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</row>
    <row r="957" ht="12.0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</row>
    <row r="958" ht="12.0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</row>
    <row r="959" ht="12.0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</row>
    <row r="960" ht="12.0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</row>
    <row r="961" ht="12.0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</row>
    <row r="962" ht="12.0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</row>
    <row r="963" ht="12.0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</row>
    <row r="964" ht="12.0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</row>
    <row r="965" ht="12.0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</row>
    <row r="966" ht="12.0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</row>
    <row r="967" ht="12.0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</row>
    <row r="968" ht="12.0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</row>
    <row r="969" ht="12.0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</row>
    <row r="970" ht="12.0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</row>
    <row r="971" ht="12.0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</row>
    <row r="972" ht="12.0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</row>
    <row r="973" ht="12.0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</row>
    <row r="974" ht="12.0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</row>
    <row r="975" ht="12.0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</row>
    <row r="976" ht="12.0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</row>
    <row r="977" ht="12.0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</row>
    <row r="978" ht="12.0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</row>
    <row r="979" ht="12.0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</row>
    <row r="980" ht="12.0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</row>
    <row r="981" ht="12.0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</row>
    <row r="982" ht="12.0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</row>
    <row r="983" ht="12.0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</row>
    <row r="984" ht="12.0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</row>
    <row r="985" ht="12.0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</row>
    <row r="986" ht="12.0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</row>
    <row r="987" ht="12.0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</row>
    <row r="988" ht="12.0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</row>
    <row r="989" ht="12.0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</row>
    <row r="990" ht="12.0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</row>
    <row r="991" ht="12.0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</row>
    <row r="992" ht="12.0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</row>
    <row r="993" ht="12.0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</row>
    <row r="994" ht="12.0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</row>
    <row r="995" ht="12.0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</row>
    <row r="996" ht="12.0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</row>
    <row r="997" ht="12.0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</row>
    <row r="998" ht="12.0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</row>
    <row r="999" ht="12.0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</row>
    <row r="1000" ht="12.0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</row>
  </sheetData>
  <mergeCells count="238">
    <mergeCell ref="K31:L31"/>
    <mergeCell ref="K32:L32"/>
    <mergeCell ref="K28:L28"/>
    <mergeCell ref="K29:L29"/>
    <mergeCell ref="H30:I30"/>
    <mergeCell ref="K30:L30"/>
    <mergeCell ref="N30:P30"/>
    <mergeCell ref="H31:I31"/>
    <mergeCell ref="H32:I32"/>
    <mergeCell ref="H36:I36"/>
    <mergeCell ref="H37:I37"/>
    <mergeCell ref="H40:I40"/>
    <mergeCell ref="H41:I41"/>
    <mergeCell ref="H42:I42"/>
    <mergeCell ref="H43:I43"/>
    <mergeCell ref="H44:I44"/>
    <mergeCell ref="H45:I45"/>
    <mergeCell ref="K37:L37"/>
    <mergeCell ref="K40:L40"/>
    <mergeCell ref="K41:L41"/>
    <mergeCell ref="K42:L42"/>
    <mergeCell ref="K43:L43"/>
    <mergeCell ref="K44:L44"/>
    <mergeCell ref="K45:L45"/>
    <mergeCell ref="H33:I33"/>
    <mergeCell ref="K33:L33"/>
    <mergeCell ref="H34:I34"/>
    <mergeCell ref="K34:L34"/>
    <mergeCell ref="H35:I35"/>
    <mergeCell ref="K35:L35"/>
    <mergeCell ref="K36:L36"/>
    <mergeCell ref="A39:B39"/>
    <mergeCell ref="A40:B40"/>
    <mergeCell ref="A41:B41"/>
    <mergeCell ref="A42:B42"/>
    <mergeCell ref="A43:B43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H39:I39"/>
    <mergeCell ref="A46:I46"/>
    <mergeCell ref="A35:B35"/>
    <mergeCell ref="A36:B36"/>
    <mergeCell ref="A37:B37"/>
    <mergeCell ref="A38:B38"/>
    <mergeCell ref="H38:I38"/>
    <mergeCell ref="K38:L38"/>
    <mergeCell ref="K39:L39"/>
    <mergeCell ref="D25:F25"/>
    <mergeCell ref="H25:I25"/>
    <mergeCell ref="N25:P25"/>
    <mergeCell ref="X25:Z25"/>
    <mergeCell ref="H26:I26"/>
    <mergeCell ref="N26:P26"/>
    <mergeCell ref="U26:V26"/>
    <mergeCell ref="A25:B25"/>
    <mergeCell ref="A27:B27"/>
    <mergeCell ref="H27:I27"/>
    <mergeCell ref="K27:L27"/>
    <mergeCell ref="D28:F28"/>
    <mergeCell ref="H28:I28"/>
    <mergeCell ref="H29:I29"/>
    <mergeCell ref="U28:V28"/>
    <mergeCell ref="U29:V29"/>
    <mergeCell ref="R25:S25"/>
    <mergeCell ref="R26:S26"/>
    <mergeCell ref="R27:S27"/>
    <mergeCell ref="U27:V27"/>
    <mergeCell ref="R28:S28"/>
    <mergeCell ref="X28:Z28"/>
    <mergeCell ref="R29:S29"/>
    <mergeCell ref="R38:S38"/>
    <mergeCell ref="R39:S39"/>
    <mergeCell ref="R40:S40"/>
    <mergeCell ref="R41:S41"/>
    <mergeCell ref="R42:S42"/>
    <mergeCell ref="R43:S43"/>
    <mergeCell ref="R44:S44"/>
    <mergeCell ref="R45:S45"/>
    <mergeCell ref="U39:V39"/>
    <mergeCell ref="U40:V40"/>
    <mergeCell ref="U41:V41"/>
    <mergeCell ref="U42:V42"/>
    <mergeCell ref="U43:V43"/>
    <mergeCell ref="U44:V44"/>
    <mergeCell ref="U34:V34"/>
    <mergeCell ref="U35:V35"/>
    <mergeCell ref="R36:S36"/>
    <mergeCell ref="U36:V36"/>
    <mergeCell ref="R37:S37"/>
    <mergeCell ref="U37:V37"/>
    <mergeCell ref="U38:V38"/>
    <mergeCell ref="R12:S12"/>
    <mergeCell ref="R13:S13"/>
    <mergeCell ref="A11:B11"/>
    <mergeCell ref="A12:B12"/>
    <mergeCell ref="K12:L12"/>
    <mergeCell ref="U12:V12"/>
    <mergeCell ref="A13:B13"/>
    <mergeCell ref="K13:L13"/>
    <mergeCell ref="U13:V13"/>
    <mergeCell ref="W9:Z9"/>
    <mergeCell ref="AA9:AC9"/>
    <mergeCell ref="N10:P10"/>
    <mergeCell ref="R10:S10"/>
    <mergeCell ref="X10:Z10"/>
    <mergeCell ref="AB10:AC10"/>
    <mergeCell ref="A9:B10"/>
    <mergeCell ref="C9:F9"/>
    <mergeCell ref="G9:I9"/>
    <mergeCell ref="K9:L10"/>
    <mergeCell ref="M9:P9"/>
    <mergeCell ref="Q9:S9"/>
    <mergeCell ref="U9:V10"/>
    <mergeCell ref="D10:F10"/>
    <mergeCell ref="H10:I10"/>
    <mergeCell ref="H11:I11"/>
    <mergeCell ref="K11:L11"/>
    <mergeCell ref="R11:S11"/>
    <mergeCell ref="U11:V11"/>
    <mergeCell ref="AB11:AC11"/>
    <mergeCell ref="H12:I12"/>
    <mergeCell ref="H13:I13"/>
    <mergeCell ref="AB12:AC12"/>
    <mergeCell ref="AB13:AC13"/>
    <mergeCell ref="AB14:AC14"/>
    <mergeCell ref="X15:Z15"/>
    <mergeCell ref="AB15:AC15"/>
    <mergeCell ref="K14:L14"/>
    <mergeCell ref="K15:L15"/>
    <mergeCell ref="U20:V20"/>
    <mergeCell ref="U21:V21"/>
    <mergeCell ref="K18:L18"/>
    <mergeCell ref="K19:L19"/>
    <mergeCell ref="R19:S19"/>
    <mergeCell ref="U19:V19"/>
    <mergeCell ref="R20:S20"/>
    <mergeCell ref="X20:Z20"/>
    <mergeCell ref="R21:S21"/>
    <mergeCell ref="H19:I19"/>
    <mergeCell ref="H20:I20"/>
    <mergeCell ref="H21:I21"/>
    <mergeCell ref="K21:L21"/>
    <mergeCell ref="K22:L22"/>
    <mergeCell ref="R22:S22"/>
    <mergeCell ref="U22:V22"/>
    <mergeCell ref="H22:I22"/>
    <mergeCell ref="H23:I23"/>
    <mergeCell ref="K23:L23"/>
    <mergeCell ref="R23:S23"/>
    <mergeCell ref="H24:I24"/>
    <mergeCell ref="K24:L24"/>
    <mergeCell ref="R24:S24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7:AC27"/>
    <mergeCell ref="AB28:AC28"/>
    <mergeCell ref="AB29:AC29"/>
    <mergeCell ref="AB30:AC30"/>
    <mergeCell ref="AB31:AC31"/>
    <mergeCell ref="AB39:AC39"/>
    <mergeCell ref="AB40:AC40"/>
    <mergeCell ref="AB41:AC41"/>
    <mergeCell ref="AB42:AC42"/>
    <mergeCell ref="AB43:AC43"/>
    <mergeCell ref="AB44:AC44"/>
    <mergeCell ref="AB32:AC32"/>
    <mergeCell ref="AB33:AC33"/>
    <mergeCell ref="AB34:AC34"/>
    <mergeCell ref="AB35:AC35"/>
    <mergeCell ref="AB36:AC36"/>
    <mergeCell ref="AB37:AC37"/>
    <mergeCell ref="AB38:AC38"/>
    <mergeCell ref="A14:B14"/>
    <mergeCell ref="H14:I14"/>
    <mergeCell ref="U14:V14"/>
    <mergeCell ref="D15:F15"/>
    <mergeCell ref="H15:I15"/>
    <mergeCell ref="N15:P15"/>
    <mergeCell ref="U15:V15"/>
    <mergeCell ref="H17:I17"/>
    <mergeCell ref="H18:I18"/>
    <mergeCell ref="N18:P18"/>
    <mergeCell ref="R18:S18"/>
    <mergeCell ref="U18:V18"/>
    <mergeCell ref="R14:S14"/>
    <mergeCell ref="R15:S15"/>
    <mergeCell ref="R16:S16"/>
    <mergeCell ref="U16:V16"/>
    <mergeCell ref="AB16:AC16"/>
    <mergeCell ref="R17:S17"/>
    <mergeCell ref="U17:V17"/>
    <mergeCell ref="A15:B15"/>
    <mergeCell ref="A16:B16"/>
    <mergeCell ref="H16:I16"/>
    <mergeCell ref="K16:L16"/>
    <mergeCell ref="A17:B17"/>
    <mergeCell ref="K17:L17"/>
    <mergeCell ref="D20:F20"/>
    <mergeCell ref="K20:L20"/>
    <mergeCell ref="U23:V23"/>
    <mergeCell ref="U24:V24"/>
    <mergeCell ref="U25:V25"/>
    <mergeCell ref="AB26:AC26"/>
    <mergeCell ref="A18:B18"/>
    <mergeCell ref="A19:B19"/>
    <mergeCell ref="A20:B20"/>
    <mergeCell ref="A21:B21"/>
    <mergeCell ref="A22:B22"/>
    <mergeCell ref="A23:B23"/>
    <mergeCell ref="A24:B24"/>
    <mergeCell ref="A26:B26"/>
    <mergeCell ref="K25:L25"/>
    <mergeCell ref="K26:L26"/>
    <mergeCell ref="R33:S33"/>
    <mergeCell ref="R34:S34"/>
    <mergeCell ref="R35:S35"/>
    <mergeCell ref="U45:AC45"/>
    <mergeCell ref="R30:S30"/>
    <mergeCell ref="U30:V30"/>
    <mergeCell ref="R31:S31"/>
    <mergeCell ref="U31:V31"/>
    <mergeCell ref="R32:S32"/>
    <mergeCell ref="U32:V32"/>
    <mergeCell ref="U33:V33"/>
  </mergeCells>
  <conditionalFormatting sqref="A16:B16 A18:B18 A21:B21 A23:B23 A25:B26">
    <cfRule type="expression" dxfId="0" priority="1" stopIfTrue="1">
      <formula>AND(XFA16&gt;0,A16=0)</formula>
    </cfRule>
  </conditionalFormatting>
  <conditionalFormatting sqref="C11:C45 D11:F14 D16:F19 D21:F24 D26:F29 D31:F34 D36:F39 D41:F44 G11:I45 I11:I41 I44:I45 M11:M45 M30:S30 N11:P14 N16:P24 N26:P29 N31:P34 N36:P39 N41:P44 Q11:S45 X11:Z14 X16:Z19 X21:Z24 X26:Z29 X31:Z34 X32:Y34 X36:Z39 X41:Z44">
    <cfRule type="expression" dxfId="1" priority="2" stopIfTrue="1">
      <formula>ISERROR(C11)</formula>
    </cfRule>
  </conditionalFormatting>
  <conditionalFormatting sqref="G9:I9 Q9:S9 AA9:AC9">
    <cfRule type="cellIs" dxfId="2" priority="3" stopIfTrue="1" operator="equal">
      <formula>0</formula>
    </cfRule>
  </conditionalFormatting>
  <conditionalFormatting sqref="A20:B20 K16:L16 K18:L18">
    <cfRule type="expression" dxfId="0" priority="4" stopIfTrue="1">
      <formula>AND(#REF!&gt;0,A16=0)</formula>
    </cfRule>
  </conditionalFormatting>
  <conditionalFormatting sqref="K16:L16 K18:L18">
    <cfRule type="expression" dxfId="0" priority="5" stopIfTrue="1">
      <formula>AND(#REF!&gt;0,K16=0)</formula>
    </cfRule>
  </conditionalFormatting>
  <conditionalFormatting sqref="K16:L16 K18:L18 K21:L21 K23:L23">
    <cfRule type="expression" dxfId="0" priority="6" stopIfTrue="1">
      <formula>AND(G16&gt;0,K16=0)</formula>
    </cfRule>
  </conditionalFormatting>
  <conditionalFormatting sqref="K21:L21 K23:L23">
    <cfRule type="expression" dxfId="0" priority="7" stopIfTrue="1">
      <formula>AND(#REF!&gt;0,K21=0)</formula>
    </cfRule>
  </conditionalFormatting>
  <conditionalFormatting sqref="K21:L21 K23:L23">
    <cfRule type="expression" dxfId="0" priority="8" stopIfTrue="1">
      <formula>AND(#REF!&gt;0,K21=0)</formula>
    </cfRule>
  </conditionalFormatting>
  <conditionalFormatting sqref="K21:L21">
    <cfRule type="expression" dxfId="0" priority="9" stopIfTrue="1">
      <formula>AND(G21&gt;0,K21=0)</formula>
    </cfRule>
  </conditionalFormatting>
  <conditionalFormatting sqref="K26:L26">
    <cfRule type="expression" dxfId="0" priority="10" stopIfTrue="1">
      <formula>AND(#REF!&gt;0,K26=0)</formula>
    </cfRule>
  </conditionalFormatting>
  <conditionalFormatting sqref="K28:L28">
    <cfRule type="expression" dxfId="0" priority="11" stopIfTrue="1">
      <formula>AND(G28&gt;0,K28=0)</formula>
    </cfRule>
  </conditionalFormatting>
  <conditionalFormatting sqref="U11:V11 U16:V16 U18:V18">
    <cfRule type="expression" dxfId="0" priority="12" stopIfTrue="1">
      <formula>AND(#REF!&gt;0,U11=0)</formula>
    </cfRule>
  </conditionalFormatting>
  <conditionalFormatting sqref="U11:V11">
    <cfRule type="expression" dxfId="0" priority="13" stopIfTrue="1">
      <formula>AND(Q11&gt;0,U11=0)</formula>
    </cfRule>
  </conditionalFormatting>
  <conditionalFormatting sqref="U16:V16 U18:V18 U21:V21 U23:V23">
    <cfRule type="expression" dxfId="0" priority="14" stopIfTrue="1">
      <formula>AND(Q16&gt;0,U16=0)</formula>
    </cfRule>
  </conditionalFormatting>
  <conditionalFormatting sqref="U16:V16 U18:V18">
    <cfRule type="expression" dxfId="0" priority="15" stopIfTrue="1">
      <formula>AND(#REF!&gt;0,U16=0)</formula>
    </cfRule>
  </conditionalFormatting>
  <conditionalFormatting sqref="W11:W45 AA11:AC45">
    <cfRule type="expression" dxfId="1" priority="16" stopIfTrue="1">
      <formula>ISERROR(W11)</formula>
    </cfRule>
  </conditionalFormatting>
  <dataValidations>
    <dataValidation type="list" allowBlank="1" showInputMessage="1" prompt="Notes - Use the drop-down to select a note for this exercise. To add a note to the drop-down, select the notes worksheet and add the note." sqref="H11 R11 H16 R16 AB16 H21 R21 AB21 H26 R26 AB26 H31 R31 AB31 H36 R36 AB36 H41 R41 AB41">
      <formula1>Notes</formula1>
    </dataValidation>
    <dataValidation type="list" allowBlank="1" showErrorMessage="1" sqref="H12:H15 R12:R15 AB11:AB15 H17:H20 R17:R20 AB17:AB20 H22:H25 R22:R25 AB22:AB25 H27:H30 R27:R30 AB27:AB30 H32:H35 R32:R35 AB32:AB35 H37:H40 R37:R40 AB37:AB40 AB42:AB44 H44:H45 R42:R45">
      <formula1>Notes</formula1>
    </dataValidation>
    <dataValidation type="list" allowBlank="1" showInputMessage="1" prompt="Exercise Selection - Select the exercise based on the exercise class from the drop-down list. These exercises are listed on the MaxSheet worksheet." sqref="A11 U11 A15 K15 U15 U20 U23 K25 A25:A26 A28 K30 U30 A30:A31 A33 A35:A36 K35:K36 U35:U36 A38 K38 U38 K40 U40 A40:A41 A45">
      <formula1>INDIRECT(HLOOKUP(XFA11,SECONDARYLOOKUP,2,FALSE))</formula1>
    </dataValidation>
    <dataValidation type="list" allowBlank="1" showInputMessage="1" prompt="Exercise Selection - Select the exercise based on the exercise class from the drop-down list. These exercises are listed on the MaxSheet worksheet." sqref="U13 A16 K16 U16 K18 U18 A20:A21 K20:K21 U21 K23 K26 U26 U28 K31 U31 U33 K41 U41 K43 U43 K45 U45">
      <formula1>INDIRECT(HLOOKUP(#REF!,SECONDARYLOOKUP,2,FALSE))</formula1>
    </dataValidation>
  </dataValidations>
  <hyperlinks>
    <hyperlink r:id="rId1" ref="E11"/>
    <hyperlink r:id="rId2" ref="O11"/>
    <hyperlink r:id="rId3" ref="Y11"/>
    <hyperlink r:id="rId4" ref="E16"/>
    <hyperlink r:id="rId5" ref="O16"/>
    <hyperlink r:id="rId6" ref="Y16"/>
    <hyperlink r:id="rId7" ref="E18"/>
    <hyperlink r:id="rId8" ref="Y18"/>
    <hyperlink r:id="rId9" ref="E21"/>
    <hyperlink r:id="rId10" ref="Y26"/>
  </hyperlinks>
  <printOptions/>
  <pageMargins bottom="0.25" footer="0.0" header="0.0" left="0.45" right="0.2" top="0.2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workbookViewId="0"/>
  </sheetViews>
  <sheetFormatPr customHeight="1" defaultColWidth="12.63" defaultRowHeight="15.75"/>
  <cols>
    <col customWidth="1" min="1" max="2" width="6.38"/>
    <col customWidth="1" min="3" max="3" width="3.5"/>
    <col customWidth="1" min="4" max="4" width="3.38"/>
    <col customWidth="1" min="5" max="5" width="1.63"/>
    <col customWidth="1" min="6" max="6" width="4.0"/>
    <col customWidth="1" min="7" max="7" width="3.5"/>
    <col customWidth="1" min="8" max="9" width="3.75"/>
    <col customWidth="1" min="10" max="10" width="2.13"/>
    <col customWidth="1" min="11" max="12" width="7.0"/>
    <col customWidth="1" min="13" max="13" width="3.38"/>
    <col customWidth="1" min="14" max="14" width="3.75"/>
    <col customWidth="1" min="15" max="15" width="2.13"/>
    <col customWidth="1" min="16" max="17" width="3.88"/>
    <col customWidth="1" min="18" max="19" width="3.75"/>
    <col customWidth="1" min="20" max="20" width="1.38"/>
    <col customWidth="1" min="21" max="22" width="6.5"/>
    <col customWidth="1" min="23" max="23" width="3.13"/>
    <col customWidth="1" min="24" max="24" width="3.38"/>
    <col customWidth="1" min="25" max="25" width="1.63"/>
    <col customWidth="1" min="26" max="26" width="3.25"/>
    <col customWidth="1" min="27" max="27" width="4.38"/>
    <col customWidth="1" min="28" max="29" width="4.25"/>
    <col customWidth="1" min="30" max="30" width="8.0"/>
  </cols>
  <sheetData>
    <row r="1" ht="40.5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75" customHeight="1">
      <c r="A9" s="1" t="s">
        <v>0</v>
      </c>
      <c r="B9" s="2"/>
      <c r="C9" s="3" t="s">
        <v>61</v>
      </c>
      <c r="D9" s="4"/>
      <c r="E9" s="4"/>
      <c r="F9" s="4"/>
      <c r="G9" s="5" t="s">
        <v>2</v>
      </c>
      <c r="H9" s="4"/>
      <c r="I9" s="6"/>
      <c r="J9" s="7"/>
      <c r="K9" s="1" t="s">
        <v>3</v>
      </c>
      <c r="L9" s="2"/>
      <c r="M9" s="3" t="s">
        <v>61</v>
      </c>
      <c r="N9" s="4"/>
      <c r="O9" s="4"/>
      <c r="P9" s="4"/>
      <c r="Q9" s="5" t="s">
        <v>2</v>
      </c>
      <c r="R9" s="4"/>
      <c r="S9" s="6"/>
      <c r="T9" s="7"/>
      <c r="U9" s="1" t="s">
        <v>4</v>
      </c>
      <c r="V9" s="2"/>
      <c r="W9" s="3" t="s">
        <v>61</v>
      </c>
      <c r="X9" s="4"/>
      <c r="Y9" s="4"/>
      <c r="Z9" s="4"/>
      <c r="AA9" s="5" t="s">
        <v>2</v>
      </c>
      <c r="AB9" s="4"/>
      <c r="AC9" s="6"/>
      <c r="AD9" s="7"/>
    </row>
    <row r="10" ht="12.0" customHeight="1">
      <c r="A10" s="8"/>
      <c r="B10" s="9"/>
      <c r="C10" s="10" t="s">
        <v>5</v>
      </c>
      <c r="D10" s="11" t="s">
        <v>6</v>
      </c>
      <c r="E10" s="4"/>
      <c r="F10" s="4"/>
      <c r="G10" s="12" t="s">
        <v>7</v>
      </c>
      <c r="H10" s="11" t="s">
        <v>8</v>
      </c>
      <c r="I10" s="6"/>
      <c r="J10" s="7"/>
      <c r="K10" s="8"/>
      <c r="L10" s="9"/>
      <c r="M10" s="10" t="s">
        <v>5</v>
      </c>
      <c r="N10" s="11" t="s">
        <v>6</v>
      </c>
      <c r="O10" s="4"/>
      <c r="P10" s="4"/>
      <c r="Q10" s="12" t="s">
        <v>7</v>
      </c>
      <c r="R10" s="11" t="s">
        <v>8</v>
      </c>
      <c r="S10" s="6"/>
      <c r="T10" s="7"/>
      <c r="U10" s="8"/>
      <c r="V10" s="9"/>
      <c r="W10" s="10" t="s">
        <v>5</v>
      </c>
      <c r="X10" s="11" t="s">
        <v>6</v>
      </c>
      <c r="Y10" s="4"/>
      <c r="Z10" s="4"/>
      <c r="AA10" s="12" t="s">
        <v>7</v>
      </c>
      <c r="AB10" s="11" t="s">
        <v>8</v>
      </c>
      <c r="AC10" s="6"/>
      <c r="AD10" s="7"/>
    </row>
    <row r="11" ht="12.0" customHeight="1">
      <c r="A11" s="13" t="s">
        <v>9</v>
      </c>
      <c r="B11" s="14"/>
      <c r="C11" s="15">
        <v>3.0</v>
      </c>
      <c r="D11" s="16">
        <f>CEILING((67.5%*(90%*N8)),5)</f>
        <v>0</v>
      </c>
      <c r="E11" s="17" t="s">
        <v>10</v>
      </c>
      <c r="F11" s="18">
        <f>CEILING((72.5%*(90%*N8)),5)</f>
        <v>0</v>
      </c>
      <c r="G11" s="19">
        <v>1.0</v>
      </c>
      <c r="H11" s="20"/>
      <c r="I11" s="14"/>
      <c r="J11" s="7"/>
      <c r="K11" s="21" t="s">
        <v>11</v>
      </c>
      <c r="L11" s="22"/>
      <c r="M11" s="15">
        <v>3.0</v>
      </c>
      <c r="N11" s="16">
        <f>CEILING((67.5%*(90%*Q8)),5)</f>
        <v>0</v>
      </c>
      <c r="O11" s="17" t="s">
        <v>10</v>
      </c>
      <c r="P11" s="18">
        <f>CEILING((72.5%*(90%*Q8)),5)</f>
        <v>0</v>
      </c>
      <c r="Q11" s="19">
        <v>1.0</v>
      </c>
      <c r="R11" s="20"/>
      <c r="S11" s="14"/>
      <c r="T11" s="7"/>
      <c r="U11" s="13" t="s">
        <v>12</v>
      </c>
      <c r="V11" s="14"/>
      <c r="W11" s="15">
        <v>3.0</v>
      </c>
      <c r="X11" s="16">
        <f>CEILING((67.5%*(90%*S8)),5)</f>
        <v>0</v>
      </c>
      <c r="Y11" s="17" t="s">
        <v>10</v>
      </c>
      <c r="Z11" s="18">
        <f>CEILING((72.5%*(90%*S8)),5)</f>
        <v>0</v>
      </c>
      <c r="AA11" s="19">
        <v>1.0</v>
      </c>
      <c r="AB11" s="23"/>
      <c r="AC11" s="22"/>
      <c r="AD11" s="7"/>
    </row>
    <row r="12" ht="12.0" customHeight="1">
      <c r="A12" s="24"/>
      <c r="B12" s="22"/>
      <c r="C12" s="25">
        <v>3.0</v>
      </c>
      <c r="D12" s="26">
        <f>CEILING((77.5%*(90%*N8)),5)</f>
        <v>0</v>
      </c>
      <c r="E12" s="27" t="s">
        <v>10</v>
      </c>
      <c r="F12" s="28">
        <f>CEILING((82.5%*(90%*N8)),5)</f>
        <v>0</v>
      </c>
      <c r="G12" s="27">
        <v>1.0</v>
      </c>
      <c r="H12" s="29"/>
      <c r="I12" s="22"/>
      <c r="J12" s="7"/>
      <c r="K12" s="24"/>
      <c r="L12" s="22"/>
      <c r="M12" s="25">
        <v>3.0</v>
      </c>
      <c r="N12" s="26">
        <f>CEILING((77.5%*(90%*Q8)),5)</f>
        <v>0</v>
      </c>
      <c r="O12" s="27" t="s">
        <v>10</v>
      </c>
      <c r="P12" s="28">
        <f>CEILING((82.5%*(90%*Q8)),5)</f>
        <v>0</v>
      </c>
      <c r="Q12" s="27">
        <v>1.0</v>
      </c>
      <c r="R12" s="29"/>
      <c r="S12" s="22"/>
      <c r="T12" s="7"/>
      <c r="U12" s="24" t="s">
        <v>13</v>
      </c>
      <c r="V12" s="22"/>
      <c r="W12" s="25">
        <v>3.0</v>
      </c>
      <c r="X12" s="26">
        <f>CEILING((77.5%*(90%*S8)),5)</f>
        <v>0</v>
      </c>
      <c r="Y12" s="27" t="s">
        <v>10</v>
      </c>
      <c r="Z12" s="28">
        <f>CEILING((82.5%*(90%*S8)),5)</f>
        <v>0</v>
      </c>
      <c r="AA12" s="27">
        <v>1.0</v>
      </c>
      <c r="AB12" s="23"/>
      <c r="AC12" s="22"/>
      <c r="AD12" s="7"/>
    </row>
    <row r="13" ht="12.0" customHeight="1">
      <c r="A13" s="24" t="s">
        <v>14</v>
      </c>
      <c r="B13" s="22"/>
      <c r="C13" s="30">
        <v>3.0</v>
      </c>
      <c r="D13" s="26">
        <f>CEILING((87.5%*(90%*N8)),5)</f>
        <v>0</v>
      </c>
      <c r="E13" s="27" t="s">
        <v>10</v>
      </c>
      <c r="F13" s="28">
        <f>CEILING((92.5%*(90%*N8)),5)</f>
        <v>0</v>
      </c>
      <c r="G13" s="27">
        <v>1.0</v>
      </c>
      <c r="H13" s="23"/>
      <c r="I13" s="22"/>
      <c r="J13" s="7"/>
      <c r="K13" s="24" t="s">
        <v>14</v>
      </c>
      <c r="L13" s="22"/>
      <c r="M13" s="30">
        <v>3.0</v>
      </c>
      <c r="N13" s="26">
        <f>CEILING((87.5%*(90%*Q8)),5)</f>
        <v>0</v>
      </c>
      <c r="O13" s="27" t="s">
        <v>10</v>
      </c>
      <c r="P13" s="28">
        <f>CEILING((92.5%*(90%*Q8)),5)</f>
        <v>0</v>
      </c>
      <c r="Q13" s="27">
        <v>1.0</v>
      </c>
      <c r="R13" s="23"/>
      <c r="S13" s="22"/>
      <c r="T13" s="7"/>
      <c r="U13" s="31" t="s">
        <v>15</v>
      </c>
      <c r="V13" s="22"/>
      <c r="W13" s="30">
        <v>3.0</v>
      </c>
      <c r="X13" s="26">
        <f>CEILING((87.5%*(90%*S8)),5)</f>
        <v>0</v>
      </c>
      <c r="Y13" s="27" t="s">
        <v>10</v>
      </c>
      <c r="Z13" s="28">
        <f>CEILING((92.5%*(90%*S8)),5)</f>
        <v>0</v>
      </c>
      <c r="AA13" s="27">
        <v>1.0</v>
      </c>
      <c r="AB13" s="23"/>
      <c r="AC13" s="22"/>
      <c r="AD13" s="7"/>
    </row>
    <row r="14" ht="12.0" customHeight="1">
      <c r="A14" s="32"/>
      <c r="B14" s="22"/>
      <c r="C14" s="33"/>
      <c r="D14" s="26"/>
      <c r="E14" s="27"/>
      <c r="F14" s="28"/>
      <c r="G14" s="34"/>
      <c r="H14" s="23"/>
      <c r="I14" s="22"/>
      <c r="J14" s="7"/>
      <c r="K14" s="24"/>
      <c r="L14" s="22"/>
      <c r="M14" s="33"/>
      <c r="N14" s="26"/>
      <c r="O14" s="27"/>
      <c r="P14" s="28"/>
      <c r="Q14" s="34"/>
      <c r="R14" s="23"/>
      <c r="S14" s="22"/>
      <c r="T14" s="7"/>
      <c r="U14" s="24" t="s">
        <v>14</v>
      </c>
      <c r="V14" s="22"/>
      <c r="W14" s="33"/>
      <c r="X14" s="26"/>
      <c r="Y14" s="27"/>
      <c r="Z14" s="28"/>
      <c r="AA14" s="34"/>
      <c r="AB14" s="23"/>
      <c r="AC14" s="22"/>
      <c r="AD14" s="7"/>
    </row>
    <row r="15" ht="12.0" customHeight="1">
      <c r="A15" s="35" t="s">
        <v>16</v>
      </c>
      <c r="B15" s="36"/>
      <c r="C15" s="37">
        <v>5.0</v>
      </c>
      <c r="D15" s="38" t="s">
        <v>17</v>
      </c>
      <c r="E15" s="39"/>
      <c r="F15" s="40"/>
      <c r="G15" s="41">
        <v>3.0</v>
      </c>
      <c r="H15" s="42"/>
      <c r="I15" s="36"/>
      <c r="J15" s="7"/>
      <c r="K15" s="35" t="s">
        <v>18</v>
      </c>
      <c r="L15" s="36"/>
      <c r="M15" s="37">
        <v>5.0</v>
      </c>
      <c r="N15" s="43" t="s">
        <v>19</v>
      </c>
      <c r="O15" s="39"/>
      <c r="P15" s="40"/>
      <c r="Q15" s="41">
        <v>3.0</v>
      </c>
      <c r="R15" s="42"/>
      <c r="S15" s="36"/>
      <c r="T15" s="7"/>
      <c r="U15" s="35" t="s">
        <v>20</v>
      </c>
      <c r="V15" s="36"/>
      <c r="W15" s="37">
        <v>5.0</v>
      </c>
      <c r="X15" s="68"/>
      <c r="Y15" s="41"/>
      <c r="Z15" s="69"/>
      <c r="AA15" s="41">
        <v>3.0</v>
      </c>
      <c r="AB15" s="42"/>
      <c r="AC15" s="36"/>
      <c r="AD15" s="7"/>
    </row>
    <row r="16" ht="12.0" customHeight="1">
      <c r="A16" s="21" t="s">
        <v>21</v>
      </c>
      <c r="B16" s="22"/>
      <c r="C16" s="44">
        <v>8.0</v>
      </c>
      <c r="D16" s="45">
        <f>CEILING((25%*Q8),5)</f>
        <v>0</v>
      </c>
      <c r="E16" s="17" t="s">
        <v>10</v>
      </c>
      <c r="F16" s="46">
        <f>CEILING((28%*Q8),5)</f>
        <v>0</v>
      </c>
      <c r="G16" s="47">
        <v>3.0</v>
      </c>
      <c r="H16" s="48"/>
      <c r="I16" s="14"/>
      <c r="J16" s="7"/>
      <c r="K16" s="13" t="s">
        <v>22</v>
      </c>
      <c r="L16" s="14"/>
      <c r="M16" s="15">
        <v>8.0</v>
      </c>
      <c r="N16" s="16">
        <f>CEILING((52.5%*N8),5)</f>
        <v>0</v>
      </c>
      <c r="O16" s="17" t="s">
        <v>10</v>
      </c>
      <c r="P16" s="18">
        <f>CEILING((57.5%*N8),5)</f>
        <v>0</v>
      </c>
      <c r="Q16" s="19">
        <v>3.0</v>
      </c>
      <c r="R16" s="48"/>
      <c r="S16" s="14"/>
      <c r="T16" s="7"/>
      <c r="U16" s="13" t="s">
        <v>23</v>
      </c>
      <c r="V16" s="14"/>
      <c r="W16" s="15">
        <v>8.0</v>
      </c>
      <c r="X16" s="16">
        <f>CEILING((60%*Q8),5)</f>
        <v>0</v>
      </c>
      <c r="Y16" s="17" t="s">
        <v>10</v>
      </c>
      <c r="Z16" s="18">
        <f>CEILING((65%*Q8),5)</f>
        <v>0</v>
      </c>
      <c r="AA16" s="19">
        <v>3.0</v>
      </c>
      <c r="AB16" s="48"/>
      <c r="AC16" s="14"/>
      <c r="AD16" s="7"/>
    </row>
    <row r="17" ht="12.0" customHeight="1">
      <c r="A17" s="24" t="s">
        <v>14</v>
      </c>
      <c r="B17" s="22"/>
      <c r="C17" s="25"/>
      <c r="D17" s="26"/>
      <c r="E17" s="27"/>
      <c r="F17" s="28"/>
      <c r="G17" s="27"/>
      <c r="H17" s="49"/>
      <c r="I17" s="22"/>
      <c r="J17" s="7"/>
      <c r="K17" s="24" t="s">
        <v>14</v>
      </c>
      <c r="L17" s="22"/>
      <c r="M17" s="25"/>
      <c r="N17" s="26"/>
      <c r="O17" s="27"/>
      <c r="P17" s="28"/>
      <c r="Q17" s="27"/>
      <c r="R17" s="23"/>
      <c r="S17" s="22"/>
      <c r="T17" s="7"/>
      <c r="U17" s="24" t="s">
        <v>14</v>
      </c>
      <c r="V17" s="22"/>
      <c r="W17" s="25"/>
      <c r="X17" s="26"/>
      <c r="Y17" s="27"/>
      <c r="Z17" s="28"/>
      <c r="AA17" s="27"/>
      <c r="AB17" s="23"/>
      <c r="AC17" s="22"/>
      <c r="AD17" s="7"/>
    </row>
    <row r="18" ht="12.0" customHeight="1">
      <c r="A18" s="21" t="s">
        <v>24</v>
      </c>
      <c r="B18" s="22"/>
      <c r="C18" s="30">
        <v>8.0</v>
      </c>
      <c r="D18" s="26">
        <f>CEILING((55%*Q8),5)</f>
        <v>0</v>
      </c>
      <c r="E18" s="50" t="s">
        <v>10</v>
      </c>
      <c r="F18" s="28">
        <f>CEILING((60%*Q8),5)</f>
        <v>0</v>
      </c>
      <c r="G18" s="27">
        <v>3.0</v>
      </c>
      <c r="H18" s="29"/>
      <c r="I18" s="22"/>
      <c r="J18" s="7"/>
      <c r="K18" s="21" t="s">
        <v>25</v>
      </c>
      <c r="L18" s="22"/>
      <c r="M18" s="30">
        <v>10.0</v>
      </c>
      <c r="N18" s="51" t="s">
        <v>26</v>
      </c>
      <c r="O18" s="52"/>
      <c r="P18" s="53"/>
      <c r="Q18" s="27">
        <v>3.0</v>
      </c>
      <c r="R18" s="23" t="s">
        <v>27</v>
      </c>
      <c r="S18" s="22"/>
      <c r="T18" s="7"/>
      <c r="U18" s="21" t="s">
        <v>28</v>
      </c>
      <c r="V18" s="22"/>
      <c r="W18" s="30">
        <v>8.0</v>
      </c>
      <c r="X18" s="26">
        <f>CEILING((41%*Q8),5)</f>
        <v>0</v>
      </c>
      <c r="Y18" s="50" t="s">
        <v>10</v>
      </c>
      <c r="Z18" s="28">
        <f>CEILING((45%*Q8),5)</f>
        <v>0</v>
      </c>
      <c r="AA18" s="27">
        <v>3.0</v>
      </c>
      <c r="AB18" s="23"/>
      <c r="AC18" s="22"/>
      <c r="AD18" s="7"/>
    </row>
    <row r="19" ht="12.0" customHeight="1">
      <c r="A19" s="24" t="s">
        <v>14</v>
      </c>
      <c r="B19" s="22"/>
      <c r="C19" s="33"/>
      <c r="D19" s="26"/>
      <c r="E19" s="27"/>
      <c r="F19" s="28"/>
      <c r="G19" s="54"/>
      <c r="H19" s="29"/>
      <c r="I19" s="22"/>
      <c r="J19" s="7"/>
      <c r="K19" s="24" t="s">
        <v>14</v>
      </c>
      <c r="L19" s="22"/>
      <c r="M19" s="33"/>
      <c r="N19" s="26"/>
      <c r="O19" s="27"/>
      <c r="P19" s="28"/>
      <c r="Q19" s="34"/>
      <c r="R19" s="23"/>
      <c r="S19" s="22"/>
      <c r="T19" s="7"/>
      <c r="U19" s="24" t="s">
        <v>14</v>
      </c>
      <c r="V19" s="22"/>
      <c r="W19" s="33"/>
      <c r="X19" s="26"/>
      <c r="Y19" s="27"/>
      <c r="Z19" s="28"/>
      <c r="AA19" s="34"/>
      <c r="AB19" s="23"/>
      <c r="AC19" s="22"/>
      <c r="AD19" s="7"/>
    </row>
    <row r="20" ht="12.0" customHeight="1">
      <c r="A20" s="35" t="s">
        <v>29</v>
      </c>
      <c r="B20" s="36"/>
      <c r="C20" s="37">
        <v>10.0</v>
      </c>
      <c r="D20" s="38" t="s">
        <v>17</v>
      </c>
      <c r="E20" s="39"/>
      <c r="F20" s="40"/>
      <c r="G20" s="41">
        <v>3.0</v>
      </c>
      <c r="H20" s="42"/>
      <c r="I20" s="36"/>
      <c r="J20" s="7"/>
      <c r="K20" s="35" t="s">
        <v>30</v>
      </c>
      <c r="L20" s="36"/>
      <c r="M20" s="30">
        <v>8.0</v>
      </c>
      <c r="N20" s="26">
        <f>CEILING((9%*Q8),5)</f>
        <v>0</v>
      </c>
      <c r="O20" s="27" t="s">
        <v>10</v>
      </c>
      <c r="P20" s="28">
        <f>CEILING((10%*Q8),5)</f>
        <v>0</v>
      </c>
      <c r="Q20" s="27">
        <v>3.0</v>
      </c>
      <c r="R20" s="23"/>
      <c r="S20" s="22"/>
      <c r="T20" s="7"/>
      <c r="U20" s="21" t="s">
        <v>31</v>
      </c>
      <c r="V20" s="22"/>
      <c r="W20" s="37">
        <v>15.0</v>
      </c>
      <c r="X20" s="38" t="s">
        <v>26</v>
      </c>
      <c r="Y20" s="39"/>
      <c r="Z20" s="40"/>
      <c r="AA20" s="41">
        <v>3.0</v>
      </c>
      <c r="AB20" s="42"/>
      <c r="AC20" s="36"/>
      <c r="AD20" s="7"/>
    </row>
    <row r="21" ht="12.0" customHeight="1">
      <c r="A21" s="13" t="s">
        <v>32</v>
      </c>
      <c r="B21" s="14"/>
      <c r="C21" s="44">
        <v>8.0</v>
      </c>
      <c r="D21" s="45">
        <f>CEILING((35%*N8),5)</f>
        <v>0</v>
      </c>
      <c r="E21" s="17" t="s">
        <v>10</v>
      </c>
      <c r="F21" s="46">
        <f>CEILING((40%*N8),5)</f>
        <v>0</v>
      </c>
      <c r="G21" s="47">
        <v>3.0</v>
      </c>
      <c r="H21" s="48"/>
      <c r="I21" s="14"/>
      <c r="J21" s="7"/>
      <c r="K21" s="55" t="s">
        <v>33</v>
      </c>
      <c r="L21" s="56"/>
      <c r="M21" s="44">
        <v>8.0</v>
      </c>
      <c r="N21" s="45">
        <f>CEILING((22.5%*Q8),5)</f>
        <v>0</v>
      </c>
      <c r="O21" s="47" t="s">
        <v>10</v>
      </c>
      <c r="P21" s="46">
        <f>CEILING((25%*Q8),5)</f>
        <v>0</v>
      </c>
      <c r="Q21" s="47">
        <v>3.0</v>
      </c>
      <c r="R21" s="48"/>
      <c r="S21" s="14"/>
      <c r="T21" s="7"/>
      <c r="U21" s="13" t="s">
        <v>34</v>
      </c>
      <c r="V21" s="14"/>
      <c r="W21" s="15">
        <v>8.0</v>
      </c>
      <c r="X21" s="16">
        <f>CEILING((30%*N8),5)</f>
        <v>0</v>
      </c>
      <c r="Y21" s="19" t="s">
        <v>10</v>
      </c>
      <c r="Z21" s="18">
        <f>CEILING((33%*N8),5)</f>
        <v>0</v>
      </c>
      <c r="AA21" s="19">
        <v>3.0</v>
      </c>
      <c r="AB21" s="48"/>
      <c r="AC21" s="14"/>
      <c r="AD21" s="7"/>
    </row>
    <row r="22" ht="12.0" customHeight="1">
      <c r="A22" s="24" t="s">
        <v>14</v>
      </c>
      <c r="B22" s="22"/>
      <c r="C22" s="25"/>
      <c r="D22" s="26"/>
      <c r="E22" s="27"/>
      <c r="F22" s="28"/>
      <c r="G22" s="27"/>
      <c r="H22" s="49"/>
      <c r="I22" s="22"/>
      <c r="J22" s="7"/>
      <c r="K22" s="24" t="s">
        <v>14</v>
      </c>
      <c r="L22" s="22"/>
      <c r="M22" s="25"/>
      <c r="N22" s="26"/>
      <c r="O22" s="27"/>
      <c r="P22" s="28"/>
      <c r="Q22" s="27"/>
      <c r="R22" s="23"/>
      <c r="S22" s="22"/>
      <c r="T22" s="7"/>
      <c r="U22" s="24" t="s">
        <v>14</v>
      </c>
      <c r="V22" s="22"/>
      <c r="W22" s="25"/>
      <c r="X22" s="26"/>
      <c r="Y22" s="27"/>
      <c r="Z22" s="28"/>
      <c r="AA22" s="27"/>
      <c r="AB22" s="23"/>
      <c r="AC22" s="22"/>
      <c r="AD22" s="7"/>
    </row>
    <row r="23" ht="12.0" customHeight="1">
      <c r="A23" s="21" t="s">
        <v>35</v>
      </c>
      <c r="B23" s="22"/>
      <c r="C23" s="30">
        <v>8.0</v>
      </c>
      <c r="D23" s="26">
        <f>CEILING((17.5%*N8),5)</f>
        <v>0</v>
      </c>
      <c r="E23" s="27" t="s">
        <v>10</v>
      </c>
      <c r="F23" s="28">
        <f>CEILING((22.5%*N8),5)</f>
        <v>0</v>
      </c>
      <c r="G23" s="27">
        <v>3.0</v>
      </c>
      <c r="H23" s="29"/>
      <c r="I23" s="22"/>
      <c r="J23" s="7"/>
      <c r="K23" s="21" t="s">
        <v>36</v>
      </c>
      <c r="L23" s="22"/>
      <c r="M23" s="30">
        <v>8.0</v>
      </c>
      <c r="N23" s="26">
        <f>CEILING((19%*Q8),5)</f>
        <v>0</v>
      </c>
      <c r="O23" s="27" t="s">
        <v>10</v>
      </c>
      <c r="P23" s="28">
        <f>CEILING((22%*Q8),5)</f>
        <v>0</v>
      </c>
      <c r="Q23" s="27">
        <v>3.0</v>
      </c>
      <c r="R23" s="23"/>
      <c r="S23" s="22"/>
      <c r="T23" s="7"/>
      <c r="U23" s="21" t="s">
        <v>37</v>
      </c>
      <c r="V23" s="22"/>
      <c r="W23" s="30">
        <v>8.0</v>
      </c>
      <c r="X23" s="26">
        <f>CEILING((18%*N8),5)</f>
        <v>0</v>
      </c>
      <c r="Y23" s="27" t="s">
        <v>10</v>
      </c>
      <c r="Z23" s="28">
        <f>CEILING((21%*N8),5)</f>
        <v>0</v>
      </c>
      <c r="AA23" s="27">
        <v>3.0</v>
      </c>
      <c r="AB23" s="23"/>
      <c r="AC23" s="22"/>
      <c r="AD23" s="7"/>
    </row>
    <row r="24" ht="12.0" customHeight="1">
      <c r="A24" s="24" t="s">
        <v>14</v>
      </c>
      <c r="B24" s="22"/>
      <c r="C24" s="33"/>
      <c r="D24" s="26"/>
      <c r="E24" s="27"/>
      <c r="F24" s="28"/>
      <c r="G24" s="34"/>
      <c r="H24" s="29"/>
      <c r="I24" s="22"/>
      <c r="J24" s="7"/>
      <c r="K24" s="24" t="s">
        <v>14</v>
      </c>
      <c r="L24" s="22"/>
      <c r="M24" s="33"/>
      <c r="N24" s="26"/>
      <c r="O24" s="27"/>
      <c r="P24" s="28"/>
      <c r="Q24" s="34"/>
      <c r="R24" s="23"/>
      <c r="S24" s="22"/>
      <c r="T24" s="7"/>
      <c r="U24" s="24" t="s">
        <v>14</v>
      </c>
      <c r="V24" s="22"/>
      <c r="W24" s="33"/>
      <c r="X24" s="26"/>
      <c r="Y24" s="27"/>
      <c r="Z24" s="28"/>
      <c r="AA24" s="34"/>
      <c r="AB24" s="23"/>
      <c r="AC24" s="22"/>
      <c r="AD24" s="7"/>
    </row>
    <row r="25" ht="12.0" customHeight="1">
      <c r="A25" s="35" t="s">
        <v>38</v>
      </c>
      <c r="B25" s="36"/>
      <c r="C25" s="37">
        <v>15.0</v>
      </c>
      <c r="D25" s="38" t="s">
        <v>39</v>
      </c>
      <c r="E25" s="39"/>
      <c r="F25" s="40"/>
      <c r="G25" s="41">
        <v>3.0</v>
      </c>
      <c r="H25" s="42"/>
      <c r="I25" s="36"/>
      <c r="J25" s="7"/>
      <c r="K25" s="35" t="s">
        <v>40</v>
      </c>
      <c r="L25" s="36"/>
      <c r="M25" s="37" t="s">
        <v>41</v>
      </c>
      <c r="N25" s="38" t="s">
        <v>17</v>
      </c>
      <c r="O25" s="39"/>
      <c r="P25" s="40"/>
      <c r="Q25" s="41">
        <v>3.0</v>
      </c>
      <c r="R25" s="42"/>
      <c r="S25" s="36"/>
      <c r="T25" s="7"/>
      <c r="U25" s="21" t="s">
        <v>42</v>
      </c>
      <c r="V25" s="22"/>
      <c r="W25" s="37">
        <v>12.0</v>
      </c>
      <c r="X25" s="38" t="s">
        <v>17</v>
      </c>
      <c r="Y25" s="39"/>
      <c r="Z25" s="40"/>
      <c r="AA25" s="41">
        <v>3.0</v>
      </c>
      <c r="AB25" s="42"/>
      <c r="AC25" s="36"/>
      <c r="AD25" s="7"/>
    </row>
    <row r="26" ht="12.0" customHeight="1">
      <c r="A26" s="55" t="s">
        <v>43</v>
      </c>
      <c r="B26" s="56"/>
      <c r="C26" s="15">
        <v>8.0</v>
      </c>
      <c r="D26" s="16">
        <f>CEILING((25%*Q8),5)</f>
        <v>0</v>
      </c>
      <c r="E26" s="19" t="s">
        <v>10</v>
      </c>
      <c r="F26" s="18">
        <f>CEILING((27.5%*Q8),5)</f>
        <v>0</v>
      </c>
      <c r="G26" s="19">
        <v>3.0</v>
      </c>
      <c r="H26" s="57"/>
      <c r="I26" s="14"/>
      <c r="J26" s="7"/>
      <c r="K26" s="21" t="s">
        <v>44</v>
      </c>
      <c r="L26" s="22"/>
      <c r="M26" s="15">
        <v>8.0</v>
      </c>
      <c r="N26" s="58" t="s">
        <v>17</v>
      </c>
      <c r="O26" s="59"/>
      <c r="P26" s="60"/>
      <c r="Q26" s="19">
        <v>3.0</v>
      </c>
      <c r="R26" s="48"/>
      <c r="S26" s="14"/>
      <c r="T26" s="7"/>
      <c r="U26" s="13" t="s">
        <v>45</v>
      </c>
      <c r="V26" s="14"/>
      <c r="W26" s="15">
        <v>8.0</v>
      </c>
      <c r="X26" s="16">
        <f>CEILING((49%*Q8),5)</f>
        <v>0</v>
      </c>
      <c r="Y26" s="17" t="s">
        <v>10</v>
      </c>
      <c r="Z26" s="18">
        <f>CEILING((52%*Q8),5)</f>
        <v>0</v>
      </c>
      <c r="AA26" s="19">
        <v>3.0</v>
      </c>
      <c r="AB26" s="48"/>
      <c r="AC26" s="14"/>
      <c r="AD26" s="7"/>
    </row>
    <row r="27" ht="12.0" customHeight="1">
      <c r="A27" s="24" t="s">
        <v>14</v>
      </c>
      <c r="B27" s="22"/>
      <c r="C27" s="25"/>
      <c r="D27" s="26"/>
      <c r="E27" s="27"/>
      <c r="F27" s="28"/>
      <c r="G27" s="27"/>
      <c r="H27" s="61"/>
      <c r="I27" s="22"/>
      <c r="J27" s="7"/>
      <c r="K27" s="24" t="s">
        <v>14</v>
      </c>
      <c r="L27" s="22"/>
      <c r="M27" s="25"/>
      <c r="N27" s="62"/>
      <c r="O27" s="63"/>
      <c r="P27" s="64"/>
      <c r="Q27" s="27"/>
      <c r="R27" s="23"/>
      <c r="S27" s="22"/>
      <c r="T27" s="7"/>
      <c r="U27" s="24" t="s">
        <v>14</v>
      </c>
      <c r="V27" s="22"/>
      <c r="W27" s="25"/>
      <c r="X27" s="26"/>
      <c r="Y27" s="27"/>
      <c r="Z27" s="28"/>
      <c r="AA27" s="27"/>
      <c r="AB27" s="23"/>
      <c r="AC27" s="22"/>
      <c r="AD27" s="7"/>
    </row>
    <row r="28" ht="12.0" customHeight="1">
      <c r="A28" s="21" t="s">
        <v>46</v>
      </c>
      <c r="B28" s="22"/>
      <c r="C28" s="30">
        <v>8.0</v>
      </c>
      <c r="D28" s="51" t="s">
        <v>47</v>
      </c>
      <c r="E28" s="52"/>
      <c r="F28" s="53"/>
      <c r="G28" s="27">
        <v>3.0</v>
      </c>
      <c r="H28" s="23"/>
      <c r="I28" s="22"/>
      <c r="J28" s="7"/>
      <c r="K28" s="21" t="s">
        <v>48</v>
      </c>
      <c r="L28" s="22"/>
      <c r="M28" s="30">
        <v>10.0</v>
      </c>
      <c r="N28" s="26">
        <f>CEILING((11%*Q8),5)</f>
        <v>0</v>
      </c>
      <c r="O28" s="27" t="s">
        <v>10</v>
      </c>
      <c r="P28" s="28">
        <f>CEILING((13%*Q8),5)</f>
        <v>0</v>
      </c>
      <c r="Q28" s="27">
        <v>3.0</v>
      </c>
      <c r="R28" s="23"/>
      <c r="S28" s="22"/>
      <c r="T28" s="7"/>
      <c r="U28" s="21" t="s">
        <v>49</v>
      </c>
      <c r="V28" s="22"/>
      <c r="W28" s="30">
        <v>8.0</v>
      </c>
      <c r="X28" s="51" t="s">
        <v>47</v>
      </c>
      <c r="Y28" s="52"/>
      <c r="Z28" s="53"/>
      <c r="AA28" s="27">
        <v>3.0</v>
      </c>
      <c r="AB28" s="23"/>
      <c r="AC28" s="22"/>
      <c r="AD28" s="7"/>
    </row>
    <row r="29" ht="12.0" customHeight="1">
      <c r="A29" s="24" t="s">
        <v>14</v>
      </c>
      <c r="B29" s="22"/>
      <c r="C29" s="33"/>
      <c r="D29" s="26"/>
      <c r="E29" s="27"/>
      <c r="F29" s="28"/>
      <c r="G29" s="34"/>
      <c r="H29" s="23"/>
      <c r="I29" s="22"/>
      <c r="J29" s="7"/>
      <c r="K29" s="24" t="s">
        <v>14</v>
      </c>
      <c r="L29" s="22"/>
      <c r="M29" s="65"/>
      <c r="N29" s="62"/>
      <c r="O29" s="63"/>
      <c r="P29" s="64"/>
      <c r="Q29" s="66"/>
      <c r="R29" s="67"/>
      <c r="S29" s="56"/>
      <c r="T29" s="7"/>
      <c r="U29" s="24" t="s">
        <v>14</v>
      </c>
      <c r="V29" s="22"/>
      <c r="W29" s="33"/>
      <c r="X29" s="26"/>
      <c r="Y29" s="27"/>
      <c r="Z29" s="28"/>
      <c r="AA29" s="34"/>
      <c r="AB29" s="23"/>
      <c r="AC29" s="22"/>
      <c r="AD29" s="7"/>
    </row>
    <row r="30" ht="12.0" customHeight="1">
      <c r="A30" s="21" t="s">
        <v>50</v>
      </c>
      <c r="B30" s="22"/>
      <c r="C30" s="37">
        <v>8.0</v>
      </c>
      <c r="D30" s="68">
        <f>CEILING((14.5%*Q8),5)</f>
        <v>0</v>
      </c>
      <c r="E30" s="41" t="s">
        <v>10</v>
      </c>
      <c r="F30" s="69">
        <f>CEILING((17.5%*Q8),5)</f>
        <v>0</v>
      </c>
      <c r="G30" s="41">
        <v>3.0</v>
      </c>
      <c r="H30" s="70"/>
      <c r="I30" s="36"/>
      <c r="J30" s="7"/>
      <c r="K30" s="35" t="s">
        <v>51</v>
      </c>
      <c r="L30" s="36"/>
      <c r="M30" s="37">
        <v>12.0</v>
      </c>
      <c r="N30" s="38" t="s">
        <v>17</v>
      </c>
      <c r="O30" s="39"/>
      <c r="P30" s="40"/>
      <c r="Q30" s="41">
        <v>3.0</v>
      </c>
      <c r="R30" s="42"/>
      <c r="S30" s="36"/>
      <c r="T30" s="7"/>
      <c r="U30" s="21" t="s">
        <v>50</v>
      </c>
      <c r="V30" s="22"/>
      <c r="W30" s="37">
        <v>8.0</v>
      </c>
      <c r="X30" s="68">
        <f>CEILING((14.5%*Q8),5)</f>
        <v>0</v>
      </c>
      <c r="Y30" s="41" t="s">
        <v>10</v>
      </c>
      <c r="Z30" s="69">
        <f>CEILING((17.5%*Q8),5)</f>
        <v>0</v>
      </c>
      <c r="AA30" s="41">
        <v>3.0</v>
      </c>
      <c r="AB30" s="42"/>
      <c r="AC30" s="36"/>
      <c r="AD30" s="7"/>
    </row>
    <row r="31" ht="12.0" customHeight="1">
      <c r="A31" s="13"/>
      <c r="B31" s="14"/>
      <c r="C31" s="15"/>
      <c r="D31" s="16"/>
      <c r="E31" s="19"/>
      <c r="F31" s="18"/>
      <c r="G31" s="19"/>
      <c r="H31" s="57"/>
      <c r="I31" s="14"/>
      <c r="J31" s="7"/>
      <c r="K31" s="71"/>
      <c r="L31" s="14"/>
      <c r="M31" s="15"/>
      <c r="N31" s="16"/>
      <c r="O31" s="19"/>
      <c r="P31" s="18"/>
      <c r="Q31" s="19"/>
      <c r="R31" s="48"/>
      <c r="S31" s="14"/>
      <c r="T31" s="7"/>
      <c r="U31" s="72" t="s">
        <v>52</v>
      </c>
      <c r="V31" s="59"/>
      <c r="W31" s="73"/>
      <c r="X31" s="73"/>
      <c r="Y31" s="73"/>
      <c r="Z31" s="74"/>
      <c r="AA31" s="19"/>
      <c r="AB31" s="48"/>
      <c r="AC31" s="14"/>
      <c r="AD31" s="7"/>
    </row>
    <row r="32" ht="12.0" customHeight="1">
      <c r="A32" s="21"/>
      <c r="B32" s="22"/>
      <c r="C32" s="25"/>
      <c r="D32" s="26"/>
      <c r="E32" s="27"/>
      <c r="F32" s="28"/>
      <c r="G32" s="27"/>
      <c r="H32" s="23"/>
      <c r="I32" s="22"/>
      <c r="J32" s="7"/>
      <c r="K32" s="24"/>
      <c r="L32" s="22"/>
      <c r="M32" s="33"/>
      <c r="N32" s="26"/>
      <c r="O32" s="27"/>
      <c r="P32" s="28"/>
      <c r="Q32" s="34"/>
      <c r="R32" s="23"/>
      <c r="S32" s="22"/>
      <c r="T32" s="7"/>
      <c r="U32" s="21" t="s">
        <v>53</v>
      </c>
      <c r="V32" s="22"/>
      <c r="W32" s="25">
        <v>3.0</v>
      </c>
      <c r="X32" s="75">
        <f>CEILING((67.5%*(90%*(N8*45%))),5)</f>
        <v>0</v>
      </c>
      <c r="Y32" s="27" t="s">
        <v>10</v>
      </c>
      <c r="Z32" s="28">
        <f>CEILING((72.5%*(90%*(N8*45%))),5)</f>
        <v>0</v>
      </c>
      <c r="AA32" s="27">
        <v>1.0</v>
      </c>
      <c r="AB32" s="23"/>
      <c r="AC32" s="22"/>
      <c r="AD32" s="7"/>
    </row>
    <row r="33" ht="12.0" customHeight="1">
      <c r="A33" s="21"/>
      <c r="B33" s="22"/>
      <c r="C33" s="30"/>
      <c r="D33" s="26"/>
      <c r="E33" s="27"/>
      <c r="F33" s="28"/>
      <c r="G33" s="27"/>
      <c r="H33" s="23"/>
      <c r="I33" s="22"/>
      <c r="J33" s="7"/>
      <c r="K33" s="24"/>
      <c r="L33" s="22"/>
      <c r="M33" s="33"/>
      <c r="N33" s="26"/>
      <c r="O33" s="27"/>
      <c r="P33" s="28"/>
      <c r="Q33" s="34"/>
      <c r="R33" s="23"/>
      <c r="S33" s="22"/>
      <c r="T33" s="7"/>
      <c r="U33" s="76"/>
      <c r="V33" s="22"/>
      <c r="W33" s="30">
        <v>3.0</v>
      </c>
      <c r="X33" s="26">
        <f>CEILING((77.5%*(90%*(N8*45%))),5)</f>
        <v>0</v>
      </c>
      <c r="Y33" s="27" t="s">
        <v>10</v>
      </c>
      <c r="Z33" s="28">
        <f>CEILING((82.5%*(90%*(N8*45%))),5)</f>
        <v>0</v>
      </c>
      <c r="AA33" s="27">
        <v>1.0</v>
      </c>
      <c r="AB33" s="23"/>
      <c r="AC33" s="22"/>
      <c r="AD33" s="7"/>
    </row>
    <row r="34" ht="12.0" customHeight="1">
      <c r="A34" s="24"/>
      <c r="B34" s="22"/>
      <c r="C34" s="33"/>
      <c r="D34" s="26"/>
      <c r="E34" s="27"/>
      <c r="F34" s="28"/>
      <c r="G34" s="34"/>
      <c r="H34" s="23"/>
      <c r="I34" s="22"/>
      <c r="J34" s="7"/>
      <c r="K34" s="24"/>
      <c r="L34" s="22"/>
      <c r="M34" s="33"/>
      <c r="N34" s="26"/>
      <c r="O34" s="27"/>
      <c r="P34" s="28"/>
      <c r="Q34" s="34"/>
      <c r="R34" s="23"/>
      <c r="S34" s="22"/>
      <c r="T34" s="7"/>
      <c r="U34" s="24"/>
      <c r="V34" s="22"/>
      <c r="W34" s="33">
        <v>3.0</v>
      </c>
      <c r="X34" s="26">
        <f>CEILING((87.5%*(90%*(N8*45%))),5)</f>
        <v>0</v>
      </c>
      <c r="Y34" s="27" t="s">
        <v>10</v>
      </c>
      <c r="Z34" s="28">
        <f>CEILING((92.5%*(90%*(N8*45%))),5)</f>
        <v>0</v>
      </c>
      <c r="AA34" s="54">
        <v>1.0</v>
      </c>
      <c r="AB34" s="23"/>
      <c r="AC34" s="22"/>
      <c r="AD34" s="7"/>
    </row>
    <row r="35" ht="12.0" customHeight="1">
      <c r="A35" s="35"/>
      <c r="B35" s="36"/>
      <c r="C35" s="37"/>
      <c r="D35" s="68"/>
      <c r="E35" s="41"/>
      <c r="F35" s="69"/>
      <c r="G35" s="41"/>
      <c r="H35" s="42"/>
      <c r="I35" s="36"/>
      <c r="J35" s="7"/>
      <c r="K35" s="35"/>
      <c r="L35" s="36"/>
      <c r="M35" s="37"/>
      <c r="N35" s="68"/>
      <c r="O35" s="41"/>
      <c r="P35" s="69"/>
      <c r="Q35" s="41"/>
      <c r="R35" s="42"/>
      <c r="S35" s="36"/>
      <c r="T35" s="7"/>
      <c r="U35" s="35"/>
      <c r="V35" s="36"/>
      <c r="W35" s="37"/>
      <c r="X35" s="68"/>
      <c r="Y35" s="41"/>
      <c r="Z35" s="69"/>
      <c r="AA35" s="41"/>
      <c r="AB35" s="42"/>
      <c r="AC35" s="36"/>
      <c r="AD35" s="7"/>
    </row>
    <row r="36" ht="12.0" customHeight="1">
      <c r="A36" s="77" t="s">
        <v>54</v>
      </c>
      <c r="B36" s="14"/>
      <c r="C36" s="15"/>
      <c r="D36" s="16"/>
      <c r="E36" s="19"/>
      <c r="F36" s="18"/>
      <c r="G36" s="19"/>
      <c r="H36" s="57"/>
      <c r="I36" s="14"/>
      <c r="J36" s="7"/>
      <c r="K36" s="77" t="s">
        <v>54</v>
      </c>
      <c r="L36" s="14"/>
      <c r="M36" s="15"/>
      <c r="N36" s="16"/>
      <c r="O36" s="19"/>
      <c r="P36" s="18"/>
      <c r="Q36" s="19"/>
      <c r="R36" s="57"/>
      <c r="S36" s="14"/>
      <c r="T36" s="7"/>
      <c r="U36" s="77" t="s">
        <v>54</v>
      </c>
      <c r="V36" s="14"/>
      <c r="W36" s="15"/>
      <c r="X36" s="16"/>
      <c r="Y36" s="19"/>
      <c r="Z36" s="18"/>
      <c r="AA36" s="19"/>
      <c r="AB36" s="57"/>
      <c r="AC36" s="14"/>
      <c r="AD36" s="7"/>
    </row>
    <row r="37" ht="15.0" customHeight="1">
      <c r="A37" s="21" t="s">
        <v>55</v>
      </c>
      <c r="B37" s="22"/>
      <c r="C37" s="25" t="s">
        <v>56</v>
      </c>
      <c r="D37" s="26"/>
      <c r="E37" s="27"/>
      <c r="F37" s="28"/>
      <c r="G37" s="27">
        <v>1.0</v>
      </c>
      <c r="H37" s="23"/>
      <c r="I37" s="22"/>
      <c r="J37" s="7"/>
      <c r="K37" s="21" t="s">
        <v>57</v>
      </c>
      <c r="L37" s="22"/>
      <c r="M37" s="25" t="s">
        <v>56</v>
      </c>
      <c r="N37" s="26"/>
      <c r="O37" s="27"/>
      <c r="P37" s="28"/>
      <c r="Q37" s="27">
        <v>2.0</v>
      </c>
      <c r="R37" s="23"/>
      <c r="S37" s="22"/>
      <c r="T37" s="7"/>
      <c r="U37" s="21" t="s">
        <v>55</v>
      </c>
      <c r="V37" s="22"/>
      <c r="W37" s="25" t="s">
        <v>56</v>
      </c>
      <c r="X37" s="26"/>
      <c r="Y37" s="27"/>
      <c r="Z37" s="28"/>
      <c r="AA37" s="27">
        <v>1.0</v>
      </c>
      <c r="AB37" s="23"/>
      <c r="AC37" s="22"/>
      <c r="AD37" s="7"/>
    </row>
    <row r="38" ht="12.0" customHeight="1">
      <c r="A38" s="21"/>
      <c r="B38" s="22"/>
      <c r="C38" s="30"/>
      <c r="D38" s="26"/>
      <c r="E38" s="27"/>
      <c r="F38" s="28"/>
      <c r="G38" s="27"/>
      <c r="H38" s="23"/>
      <c r="I38" s="22"/>
      <c r="J38" s="7"/>
      <c r="K38" s="21"/>
      <c r="L38" s="22"/>
      <c r="M38" s="30"/>
      <c r="N38" s="26"/>
      <c r="O38" s="27"/>
      <c r="P38" s="28"/>
      <c r="Q38" s="27"/>
      <c r="R38" s="23"/>
      <c r="S38" s="22"/>
      <c r="T38" s="7"/>
      <c r="U38" s="21"/>
      <c r="V38" s="22"/>
      <c r="W38" s="30"/>
      <c r="X38" s="26"/>
      <c r="Y38" s="27"/>
      <c r="Z38" s="28"/>
      <c r="AA38" s="27"/>
      <c r="AB38" s="23"/>
      <c r="AC38" s="22"/>
      <c r="AD38" s="7"/>
    </row>
    <row r="39" ht="15.0" customHeight="1">
      <c r="A39" s="21" t="s">
        <v>58</v>
      </c>
      <c r="B39" s="22"/>
      <c r="C39" s="33" t="s">
        <v>56</v>
      </c>
      <c r="D39" s="26"/>
      <c r="E39" s="27"/>
      <c r="F39" s="28"/>
      <c r="G39" s="34">
        <v>2.0</v>
      </c>
      <c r="H39" s="23"/>
      <c r="I39" s="22"/>
      <c r="J39" s="7"/>
      <c r="K39" s="21" t="s">
        <v>58</v>
      </c>
      <c r="L39" s="22"/>
      <c r="M39" s="33" t="s">
        <v>56</v>
      </c>
      <c r="N39" s="26"/>
      <c r="O39" s="27"/>
      <c r="P39" s="28"/>
      <c r="Q39" s="34">
        <v>2.0</v>
      </c>
      <c r="R39" s="23"/>
      <c r="S39" s="22"/>
      <c r="T39" s="7"/>
      <c r="U39" s="21" t="s">
        <v>59</v>
      </c>
      <c r="V39" s="22"/>
      <c r="W39" s="33" t="s">
        <v>56</v>
      </c>
      <c r="X39" s="26"/>
      <c r="Y39" s="27"/>
      <c r="Z39" s="28"/>
      <c r="AA39" s="34">
        <v>2.0</v>
      </c>
      <c r="AB39" s="23"/>
      <c r="AC39" s="22"/>
      <c r="AD39" s="7"/>
    </row>
    <row r="40" ht="12.0" customHeight="1">
      <c r="A40" s="35"/>
      <c r="B40" s="36"/>
      <c r="C40" s="37"/>
      <c r="D40" s="68"/>
      <c r="E40" s="41"/>
      <c r="F40" s="69"/>
      <c r="G40" s="41"/>
      <c r="H40" s="42"/>
      <c r="I40" s="36"/>
      <c r="J40" s="7"/>
      <c r="K40" s="35"/>
      <c r="L40" s="36"/>
      <c r="M40" s="37"/>
      <c r="N40" s="68"/>
      <c r="O40" s="41"/>
      <c r="P40" s="69"/>
      <c r="Q40" s="41"/>
      <c r="R40" s="42"/>
      <c r="S40" s="36"/>
      <c r="T40" s="7"/>
      <c r="U40" s="35"/>
      <c r="V40" s="36"/>
      <c r="W40" s="37"/>
      <c r="X40" s="68"/>
      <c r="Y40" s="41"/>
      <c r="Z40" s="69"/>
      <c r="AA40" s="41"/>
      <c r="AB40" s="42"/>
      <c r="AC40" s="36"/>
      <c r="AD40" s="7"/>
    </row>
    <row r="41" ht="12.0" customHeight="1">
      <c r="A41" s="71"/>
      <c r="B41" s="14"/>
      <c r="C41" s="15"/>
      <c r="D41" s="16"/>
      <c r="E41" s="19"/>
      <c r="F41" s="18"/>
      <c r="G41" s="19"/>
      <c r="H41" s="48"/>
      <c r="I41" s="14"/>
      <c r="J41" s="7"/>
      <c r="K41" s="71"/>
      <c r="L41" s="14"/>
      <c r="M41" s="15"/>
      <c r="N41" s="16"/>
      <c r="O41" s="19"/>
      <c r="P41" s="18"/>
      <c r="Q41" s="19"/>
      <c r="R41" s="48"/>
      <c r="S41" s="14"/>
      <c r="T41" s="7"/>
      <c r="U41" s="71"/>
      <c r="V41" s="14"/>
      <c r="W41" s="15"/>
      <c r="X41" s="16"/>
      <c r="Y41" s="19"/>
      <c r="Z41" s="18"/>
      <c r="AA41" s="19"/>
      <c r="AB41" s="48"/>
      <c r="AC41" s="14"/>
      <c r="AD41" s="7"/>
    </row>
    <row r="42" ht="15.0" customHeight="1">
      <c r="A42" s="78"/>
      <c r="B42" s="22"/>
      <c r="C42" s="33"/>
      <c r="D42" s="79"/>
      <c r="E42" s="79"/>
      <c r="F42" s="79"/>
      <c r="G42" s="80"/>
      <c r="H42" s="81"/>
      <c r="I42" s="22"/>
      <c r="J42" s="7"/>
      <c r="K42" s="24"/>
      <c r="L42" s="22"/>
      <c r="M42" s="30"/>
      <c r="N42" s="26"/>
      <c r="O42" s="27"/>
      <c r="P42" s="28"/>
      <c r="Q42" s="27"/>
      <c r="R42" s="23"/>
      <c r="S42" s="22"/>
      <c r="T42" s="7"/>
      <c r="U42" s="24"/>
      <c r="V42" s="22"/>
      <c r="W42" s="30"/>
      <c r="X42" s="26"/>
      <c r="Y42" s="27"/>
      <c r="Z42" s="28"/>
      <c r="AA42" s="27"/>
      <c r="AB42" s="23"/>
      <c r="AC42" s="22"/>
      <c r="AD42" s="7"/>
    </row>
    <row r="43" ht="12.0" customHeight="1">
      <c r="A43" s="78"/>
      <c r="B43" s="22"/>
      <c r="C43" s="33"/>
      <c r="D43" s="82"/>
      <c r="E43" s="82"/>
      <c r="F43" s="82"/>
      <c r="G43" s="80"/>
      <c r="H43" s="83"/>
      <c r="I43" s="22"/>
      <c r="J43" s="7"/>
      <c r="K43" s="76"/>
      <c r="L43" s="22"/>
      <c r="M43" s="30"/>
      <c r="N43" s="26"/>
      <c r="O43" s="27"/>
      <c r="P43" s="28"/>
      <c r="Q43" s="27"/>
      <c r="R43" s="23"/>
      <c r="S43" s="22"/>
      <c r="T43" s="7"/>
      <c r="U43" s="76"/>
      <c r="V43" s="22"/>
      <c r="W43" s="30"/>
      <c r="X43" s="26"/>
      <c r="Y43" s="27"/>
      <c r="Z43" s="28"/>
      <c r="AA43" s="27"/>
      <c r="AB43" s="23"/>
      <c r="AC43" s="22"/>
      <c r="AD43" s="7"/>
    </row>
    <row r="44" ht="12.0" customHeight="1">
      <c r="A44" s="78"/>
      <c r="B44" s="22"/>
      <c r="C44" s="33"/>
      <c r="D44" s="26"/>
      <c r="E44" s="27"/>
      <c r="F44" s="28"/>
      <c r="G44" s="34"/>
      <c r="H44" s="23"/>
      <c r="I44" s="22"/>
      <c r="J44" s="7"/>
      <c r="K44" s="24"/>
      <c r="L44" s="22"/>
      <c r="M44" s="84"/>
      <c r="N44" s="26"/>
      <c r="O44" s="27"/>
      <c r="P44" s="28"/>
      <c r="Q44" s="54"/>
      <c r="R44" s="23"/>
      <c r="S44" s="22"/>
      <c r="T44" s="7"/>
      <c r="U44" s="24"/>
      <c r="V44" s="22"/>
      <c r="W44" s="84"/>
      <c r="X44" s="26"/>
      <c r="Y44" s="27"/>
      <c r="Z44" s="28"/>
      <c r="AA44" s="54"/>
      <c r="AB44" s="23"/>
      <c r="AC44" s="22"/>
      <c r="AD44" s="7"/>
    </row>
    <row r="45" ht="12.0" customHeight="1">
      <c r="A45" s="85"/>
      <c r="B45" s="36"/>
      <c r="C45" s="37"/>
      <c r="D45" s="68"/>
      <c r="E45" s="41"/>
      <c r="F45" s="69"/>
      <c r="G45" s="41"/>
      <c r="H45" s="42"/>
      <c r="I45" s="36"/>
      <c r="J45" s="7"/>
      <c r="K45" s="86"/>
      <c r="L45" s="36"/>
      <c r="M45" s="37"/>
      <c r="N45" s="68"/>
      <c r="O45" s="41"/>
      <c r="P45" s="69"/>
      <c r="Q45" s="41"/>
      <c r="R45" s="42"/>
      <c r="S45" s="36"/>
      <c r="T45" s="7"/>
      <c r="U45" s="87" t="s">
        <v>60</v>
      </c>
      <c r="V45" s="39"/>
      <c r="W45" s="39"/>
      <c r="X45" s="39"/>
      <c r="Y45" s="39"/>
      <c r="Z45" s="39"/>
      <c r="AA45" s="39"/>
      <c r="AB45" s="39"/>
      <c r="AC45" s="36"/>
      <c r="AD45" s="7"/>
    </row>
    <row r="46" ht="12.0" customHeight="1">
      <c r="A46" s="88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</row>
    <row r="47" ht="12.0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</row>
    <row r="48" ht="12.0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</row>
    <row r="49" ht="12.0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</row>
    <row r="50" ht="12.0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</row>
    <row r="51" ht="12.0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</row>
    <row r="52" ht="12.0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</row>
    <row r="53" ht="12.0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</row>
    <row r="54" ht="12.0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</row>
    <row r="55" ht="12.0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</row>
    <row r="56" ht="12.0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</row>
    <row r="57" ht="12.0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</row>
    <row r="58" ht="12.0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</row>
    <row r="59" ht="12.0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</row>
    <row r="60" ht="12.0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</row>
    <row r="61" ht="12.0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</row>
    <row r="62" ht="12.0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</row>
    <row r="63" ht="12.0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</row>
    <row r="64" ht="12.0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</row>
    <row r="65" ht="12.0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</row>
    <row r="66" ht="12.0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</row>
    <row r="67" ht="12.0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</row>
    <row r="68" ht="12.0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</row>
    <row r="69" ht="12.0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</row>
    <row r="70" ht="12.0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</row>
    <row r="71" ht="12.0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</row>
    <row r="72" ht="12.0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</row>
    <row r="73" ht="12.0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</row>
    <row r="74" ht="12.0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</row>
    <row r="75" ht="12.0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</row>
    <row r="76" ht="12.0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</row>
    <row r="77" ht="12.0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</row>
    <row r="78" ht="12.0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</row>
    <row r="79" ht="12.0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</row>
    <row r="80" ht="12.0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</row>
    <row r="81" ht="12.0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</row>
    <row r="82" ht="12.0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</row>
    <row r="83" ht="12.0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</row>
    <row r="84" ht="12.0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</row>
    <row r="85" ht="12.0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</row>
    <row r="86" ht="12.0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</row>
    <row r="87" ht="12.0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</row>
    <row r="88" ht="12.0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</row>
    <row r="89" ht="12.0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</row>
    <row r="90" ht="12.0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</row>
    <row r="91" ht="12.0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</row>
    <row r="92" ht="12.0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</row>
    <row r="93" ht="12.0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</row>
    <row r="94" ht="12.0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</row>
    <row r="95" ht="12.0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</row>
    <row r="96" ht="12.0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</row>
    <row r="97" ht="12.0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</row>
    <row r="98" ht="12.0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</row>
    <row r="99" ht="12.0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</row>
    <row r="100" ht="12.0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</row>
    <row r="101" ht="12.0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</row>
    <row r="102" ht="12.0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</row>
    <row r="103" ht="12.0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</row>
    <row r="104" ht="12.0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</row>
    <row r="105" ht="12.0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</row>
    <row r="106" ht="12.0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</row>
    <row r="107" ht="12.0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</row>
    <row r="108" ht="12.0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</row>
    <row r="109" ht="12.0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</row>
    <row r="110" ht="12.0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</row>
    <row r="111" ht="12.0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</row>
    <row r="112" ht="12.0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</row>
    <row r="113" ht="12.0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ht="12.0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ht="12.0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ht="12.0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ht="12.0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ht="12.0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ht="12.0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ht="12.0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ht="12.0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ht="12.0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ht="12.0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ht="12.0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ht="12.0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ht="12.0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ht="12.0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ht="12.0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ht="12.0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ht="12.0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ht="12.0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ht="12.0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ht="12.0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ht="12.0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ht="12.0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ht="12.0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ht="12.0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ht="12.0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ht="12.0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ht="12.0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ht="12.0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ht="12.0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ht="12.0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ht="12.0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ht="12.0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ht="12.0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ht="12.0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ht="12.0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ht="12.0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ht="12.0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ht="12.0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ht="12.0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ht="12.0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ht="12.0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ht="12.0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ht="12.0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ht="12.0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ht="12.0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ht="12.0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ht="12.0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ht="12.0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ht="12.0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ht="12.0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ht="12.0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ht="12.0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ht="12.0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ht="12.0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ht="12.0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ht="12.0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ht="12.0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ht="12.0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ht="12.0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ht="12.0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ht="12.0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ht="12.0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ht="12.0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ht="12.0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ht="12.0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ht="12.0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ht="12.0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ht="12.0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ht="12.0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ht="12.0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ht="12.0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ht="12.0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ht="12.0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ht="12.0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ht="12.0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ht="12.0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ht="12.0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ht="12.0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ht="12.0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ht="12.0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ht="12.0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ht="12.0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ht="12.0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ht="12.0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ht="12.0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ht="12.0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ht="12.0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ht="12.0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ht="12.0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ht="12.0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ht="12.0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ht="12.0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ht="12.0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ht="12.0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ht="12.0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ht="12.0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ht="12.0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ht="12.0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ht="12.0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ht="12.0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ht="12.0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ht="12.0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ht="12.0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ht="12.0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ht="12.0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ht="12.0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ht="12.0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ht="12.0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ht="12.0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ht="12.0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ht="12.0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ht="12.0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ht="12.0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ht="12.0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ht="12.0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ht="12.0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ht="12.0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ht="12.0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ht="12.0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ht="12.0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ht="12.0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ht="12.0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ht="12.0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ht="12.0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ht="12.0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ht="12.0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ht="12.0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ht="12.0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ht="12.0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ht="12.0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ht="12.0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ht="12.0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ht="12.0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ht="12.0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ht="12.0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ht="12.0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ht="12.0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ht="12.0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ht="12.0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ht="12.0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ht="12.0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ht="12.0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ht="12.0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ht="12.0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ht="12.0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ht="12.0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ht="12.0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ht="12.0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ht="12.0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ht="12.0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ht="12.0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ht="12.0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ht="12.0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ht="12.0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ht="12.0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ht="12.0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ht="12.0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ht="12.0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ht="12.0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ht="12.0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ht="12.0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ht="12.0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ht="12.0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ht="12.0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ht="12.0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ht="12.0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ht="12.0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ht="12.0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ht="12.0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ht="12.0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ht="12.0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ht="12.0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ht="12.0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ht="12.0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ht="12.0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ht="12.0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ht="12.0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ht="12.0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ht="12.0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ht="12.0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ht="12.0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ht="12.0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ht="12.0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ht="12.0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ht="12.0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ht="12.0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ht="12.0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ht="12.0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ht="12.0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ht="12.0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ht="12.0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ht="12.0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ht="12.0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ht="12.0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ht="12.0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ht="12.0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ht="12.0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ht="12.0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ht="12.0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ht="12.0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ht="12.0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ht="12.0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ht="12.0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ht="12.0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ht="12.0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ht="12.0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ht="12.0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ht="12.0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ht="12.0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ht="12.0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ht="12.0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ht="12.0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ht="12.0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ht="12.0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ht="12.0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ht="12.0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ht="12.0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ht="12.0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ht="12.0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ht="12.0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ht="12.0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ht="12.0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ht="12.0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ht="12.0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ht="12.0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ht="12.0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ht="12.0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ht="12.0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ht="12.0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ht="12.0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ht="12.0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ht="12.0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ht="12.0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ht="12.0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ht="12.0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ht="12.0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ht="12.0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ht="12.0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ht="12.0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ht="12.0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ht="12.0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ht="12.0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ht="12.0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ht="12.0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ht="12.0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ht="12.0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ht="12.0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ht="12.0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ht="12.0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ht="12.0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ht="12.0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ht="12.0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ht="12.0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ht="12.0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ht="12.0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ht="12.0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ht="12.0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ht="12.0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ht="12.0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ht="12.0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ht="12.0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ht="12.0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ht="12.0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ht="12.0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ht="12.0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ht="12.0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ht="12.0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ht="12.0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ht="12.0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ht="12.0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ht="12.0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ht="12.0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ht="12.0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ht="12.0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ht="12.0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ht="12.0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ht="12.0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ht="12.0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ht="12.0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ht="12.0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ht="12.0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ht="12.0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  <row r="396" ht="12.0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</row>
    <row r="397" ht="12.0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</row>
    <row r="398" ht="12.0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</row>
    <row r="399" ht="12.0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</row>
    <row r="400" ht="12.0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</row>
    <row r="401" ht="12.0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</row>
    <row r="402" ht="12.0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</row>
    <row r="403" ht="12.0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</row>
    <row r="404" ht="12.0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</row>
    <row r="405" ht="12.0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</row>
    <row r="406" ht="12.0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</row>
    <row r="407" ht="12.0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</row>
    <row r="408" ht="12.0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</row>
    <row r="409" ht="12.0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</row>
    <row r="410" ht="12.0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</row>
    <row r="411" ht="12.0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</row>
    <row r="412" ht="12.0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</row>
    <row r="413" ht="12.0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</row>
    <row r="414" ht="12.0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</row>
    <row r="415" ht="12.0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</row>
    <row r="416" ht="12.0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</row>
    <row r="417" ht="12.0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</row>
    <row r="418" ht="12.0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</row>
    <row r="419" ht="12.0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</row>
    <row r="420" ht="12.0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</row>
    <row r="421" ht="12.0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</row>
    <row r="422" ht="12.0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</row>
    <row r="423" ht="12.0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</row>
    <row r="424" ht="12.0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</row>
    <row r="425" ht="12.0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</row>
    <row r="426" ht="12.0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</row>
    <row r="427" ht="12.0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</row>
    <row r="428" ht="12.0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</row>
    <row r="429" ht="12.0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</row>
    <row r="430" ht="12.0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</row>
    <row r="431" ht="12.0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</row>
    <row r="432" ht="12.0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</row>
    <row r="433" ht="12.0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</row>
    <row r="434" ht="12.0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</row>
    <row r="435" ht="12.0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</row>
    <row r="436" ht="12.0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</row>
    <row r="437" ht="12.0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</row>
    <row r="438" ht="12.0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</row>
    <row r="439" ht="12.0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</row>
    <row r="440" ht="12.0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</row>
    <row r="441" ht="12.0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</row>
    <row r="442" ht="12.0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</row>
    <row r="443" ht="12.0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</row>
    <row r="444" ht="12.0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</row>
    <row r="445" ht="12.0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</row>
    <row r="446" ht="12.0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</row>
    <row r="447" ht="12.0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</row>
    <row r="448" ht="12.0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</row>
    <row r="449" ht="12.0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</row>
    <row r="450" ht="12.0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</row>
    <row r="451" ht="12.0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</row>
    <row r="452" ht="12.0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</row>
    <row r="453" ht="12.0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</row>
    <row r="454" ht="12.0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</row>
    <row r="455" ht="12.0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</row>
    <row r="456" ht="12.0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</row>
    <row r="457" ht="12.0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</row>
    <row r="458" ht="12.0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</row>
    <row r="459" ht="12.0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</row>
    <row r="460" ht="12.0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</row>
    <row r="461" ht="12.0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</row>
    <row r="462" ht="12.0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</row>
    <row r="463" ht="12.0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</row>
    <row r="464" ht="12.0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</row>
    <row r="465" ht="12.0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</row>
    <row r="466" ht="12.0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</row>
    <row r="467" ht="12.0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</row>
    <row r="468" ht="12.0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</row>
    <row r="469" ht="12.0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</row>
    <row r="470" ht="12.0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</row>
    <row r="471" ht="12.0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</row>
    <row r="472" ht="12.0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</row>
    <row r="473" ht="12.0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</row>
    <row r="474" ht="12.0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</row>
    <row r="475" ht="12.0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</row>
    <row r="476" ht="12.0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</row>
    <row r="477" ht="12.0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</row>
    <row r="478" ht="12.0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</row>
    <row r="479" ht="12.0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</row>
    <row r="480" ht="12.0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</row>
    <row r="481" ht="12.0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</row>
    <row r="482" ht="12.0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</row>
    <row r="483" ht="12.0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</row>
    <row r="484" ht="12.0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</row>
    <row r="485" ht="12.0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</row>
    <row r="486" ht="12.0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</row>
    <row r="487" ht="12.0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</row>
    <row r="488" ht="12.0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</row>
    <row r="489" ht="12.0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</row>
    <row r="490" ht="12.0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</row>
    <row r="491" ht="12.0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</row>
    <row r="492" ht="12.0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</row>
    <row r="493" ht="12.0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</row>
    <row r="494" ht="12.0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</row>
    <row r="495" ht="12.0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</row>
    <row r="496" ht="12.0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</row>
    <row r="497" ht="12.0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</row>
    <row r="498" ht="12.0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</row>
    <row r="499" ht="12.0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</row>
    <row r="500" ht="12.0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</row>
    <row r="501" ht="12.0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</row>
    <row r="502" ht="12.0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</row>
    <row r="503" ht="12.0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</row>
    <row r="504" ht="12.0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</row>
    <row r="505" ht="12.0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</row>
    <row r="506" ht="12.0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</row>
    <row r="507" ht="12.0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</row>
    <row r="508" ht="12.0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</row>
    <row r="509" ht="12.0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</row>
    <row r="510" ht="12.0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</row>
    <row r="511" ht="12.0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</row>
    <row r="512" ht="12.0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</row>
    <row r="513" ht="12.0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</row>
    <row r="514" ht="12.0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</row>
    <row r="515" ht="12.0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</row>
    <row r="516" ht="12.0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</row>
    <row r="517" ht="12.0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</row>
    <row r="518" ht="12.0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</row>
    <row r="519" ht="12.0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</row>
    <row r="520" ht="12.0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</row>
    <row r="521" ht="12.0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</row>
    <row r="522" ht="12.0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</row>
    <row r="523" ht="12.0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</row>
    <row r="524" ht="12.0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</row>
    <row r="525" ht="12.0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</row>
    <row r="526" ht="12.0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</row>
    <row r="527" ht="12.0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</row>
    <row r="528" ht="12.0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</row>
    <row r="529" ht="12.0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</row>
    <row r="530" ht="12.0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</row>
    <row r="531" ht="12.0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</row>
    <row r="532" ht="12.0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</row>
    <row r="533" ht="12.0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</row>
    <row r="534" ht="12.0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</row>
    <row r="535" ht="12.0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</row>
    <row r="536" ht="12.0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</row>
    <row r="537" ht="12.0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</row>
    <row r="538" ht="12.0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</row>
    <row r="539" ht="12.0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</row>
    <row r="540" ht="12.0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</row>
    <row r="541" ht="12.0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</row>
    <row r="542" ht="12.0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</row>
    <row r="543" ht="12.0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</row>
    <row r="544" ht="12.0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</row>
    <row r="545" ht="12.0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</row>
    <row r="546" ht="12.0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</row>
    <row r="547" ht="12.0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</row>
    <row r="548" ht="12.0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</row>
    <row r="549" ht="12.0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</row>
    <row r="550" ht="12.0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</row>
    <row r="551" ht="12.0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</row>
    <row r="552" ht="12.0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</row>
    <row r="553" ht="12.0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</row>
    <row r="554" ht="12.0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</row>
    <row r="555" ht="12.0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</row>
    <row r="556" ht="12.0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</row>
    <row r="557" ht="12.0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</row>
    <row r="558" ht="12.0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</row>
    <row r="559" ht="12.0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</row>
    <row r="560" ht="12.0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</row>
    <row r="561" ht="12.0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</row>
    <row r="562" ht="12.0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</row>
    <row r="563" ht="12.0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</row>
    <row r="564" ht="12.0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</row>
    <row r="565" ht="12.0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</row>
    <row r="566" ht="12.0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</row>
    <row r="567" ht="12.0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</row>
    <row r="568" ht="12.0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</row>
    <row r="569" ht="12.0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</row>
    <row r="570" ht="12.0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</row>
    <row r="571" ht="12.0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</row>
    <row r="572" ht="12.0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</row>
    <row r="573" ht="12.0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</row>
    <row r="574" ht="12.0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</row>
    <row r="575" ht="12.0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</row>
    <row r="576" ht="12.0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</row>
    <row r="577" ht="12.0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</row>
    <row r="578" ht="12.0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</row>
    <row r="579" ht="12.0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</row>
    <row r="580" ht="12.0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</row>
    <row r="581" ht="12.0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</row>
    <row r="582" ht="12.0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</row>
    <row r="583" ht="12.0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</row>
    <row r="584" ht="12.0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</row>
    <row r="585" ht="12.0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</row>
    <row r="586" ht="12.0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</row>
    <row r="587" ht="12.0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</row>
    <row r="588" ht="12.0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</row>
    <row r="589" ht="12.0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</row>
    <row r="590" ht="12.0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</row>
    <row r="591" ht="12.0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</row>
    <row r="592" ht="12.0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</row>
    <row r="593" ht="12.0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</row>
    <row r="594" ht="12.0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</row>
    <row r="595" ht="12.0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</row>
    <row r="596" ht="12.0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</row>
    <row r="597" ht="12.0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</row>
    <row r="598" ht="12.0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</row>
    <row r="599" ht="12.0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</row>
    <row r="600" ht="12.0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</row>
    <row r="601" ht="12.0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</row>
    <row r="602" ht="12.0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</row>
    <row r="603" ht="12.0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</row>
    <row r="604" ht="12.0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</row>
    <row r="605" ht="12.0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</row>
    <row r="606" ht="12.0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</row>
    <row r="607" ht="12.0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</row>
    <row r="608" ht="12.0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</row>
    <row r="609" ht="12.0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</row>
    <row r="610" ht="12.0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</row>
    <row r="611" ht="12.0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</row>
    <row r="612" ht="12.0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</row>
    <row r="613" ht="12.0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</row>
    <row r="614" ht="12.0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</row>
    <row r="615" ht="12.0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</row>
    <row r="616" ht="12.0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</row>
    <row r="617" ht="12.0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</row>
    <row r="618" ht="12.0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</row>
    <row r="619" ht="12.0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</row>
    <row r="620" ht="12.0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</row>
    <row r="621" ht="12.0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</row>
    <row r="622" ht="12.0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</row>
    <row r="623" ht="12.0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</row>
    <row r="624" ht="12.0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</row>
    <row r="625" ht="12.0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</row>
    <row r="626" ht="12.0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</row>
    <row r="627" ht="12.0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</row>
    <row r="628" ht="12.0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</row>
    <row r="629" ht="12.0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</row>
    <row r="630" ht="12.0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</row>
    <row r="631" ht="12.0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</row>
    <row r="632" ht="12.0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</row>
    <row r="633" ht="12.0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</row>
    <row r="634" ht="12.0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</row>
    <row r="635" ht="12.0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</row>
    <row r="636" ht="12.0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</row>
    <row r="637" ht="12.0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</row>
    <row r="638" ht="12.0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</row>
    <row r="639" ht="12.0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</row>
    <row r="640" ht="12.0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</row>
    <row r="641" ht="12.0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</row>
    <row r="642" ht="12.0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</row>
    <row r="643" ht="12.0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</row>
    <row r="644" ht="12.0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</row>
    <row r="645" ht="12.0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</row>
    <row r="646" ht="12.0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</row>
    <row r="647" ht="12.0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</row>
    <row r="648" ht="12.0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</row>
    <row r="649" ht="12.0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</row>
    <row r="650" ht="12.0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</row>
    <row r="651" ht="12.0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</row>
    <row r="652" ht="12.0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</row>
    <row r="653" ht="12.0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</row>
    <row r="654" ht="12.0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</row>
    <row r="655" ht="12.0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</row>
    <row r="656" ht="12.0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</row>
    <row r="657" ht="12.0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</row>
    <row r="658" ht="12.0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</row>
    <row r="659" ht="12.0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</row>
    <row r="660" ht="12.0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</row>
    <row r="661" ht="12.0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</row>
    <row r="662" ht="12.0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</row>
    <row r="663" ht="12.0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</row>
    <row r="664" ht="12.0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</row>
    <row r="665" ht="12.0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</row>
    <row r="666" ht="12.0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</row>
    <row r="667" ht="12.0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</row>
    <row r="668" ht="12.0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</row>
    <row r="669" ht="12.0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</row>
    <row r="670" ht="12.0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</row>
    <row r="671" ht="12.0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</row>
    <row r="672" ht="12.0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</row>
    <row r="673" ht="12.0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</row>
    <row r="674" ht="12.0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</row>
    <row r="675" ht="12.0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</row>
    <row r="676" ht="12.0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</row>
    <row r="677" ht="12.0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</row>
    <row r="678" ht="12.0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</row>
    <row r="679" ht="12.0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</row>
    <row r="680" ht="12.0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</row>
    <row r="681" ht="12.0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</row>
    <row r="682" ht="12.0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</row>
    <row r="683" ht="12.0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</row>
    <row r="684" ht="12.0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</row>
    <row r="685" ht="12.0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</row>
    <row r="686" ht="12.0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</row>
    <row r="687" ht="12.0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</row>
    <row r="688" ht="12.0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</row>
    <row r="689" ht="12.0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</row>
    <row r="690" ht="12.0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</row>
    <row r="691" ht="12.0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</row>
    <row r="692" ht="12.0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</row>
    <row r="693" ht="12.0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</row>
    <row r="694" ht="12.0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</row>
    <row r="695" ht="12.0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</row>
    <row r="696" ht="12.0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</row>
    <row r="697" ht="12.0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</row>
    <row r="698" ht="12.0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</row>
    <row r="699" ht="12.0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</row>
    <row r="700" ht="12.0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</row>
    <row r="701" ht="12.0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</row>
    <row r="702" ht="12.0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</row>
    <row r="703" ht="12.0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</row>
    <row r="704" ht="12.0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</row>
    <row r="705" ht="12.0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</row>
    <row r="706" ht="12.0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</row>
    <row r="707" ht="12.0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</row>
    <row r="708" ht="12.0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</row>
    <row r="709" ht="12.0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</row>
    <row r="710" ht="12.0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</row>
    <row r="711" ht="12.0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</row>
    <row r="712" ht="12.0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</row>
    <row r="713" ht="12.0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</row>
    <row r="714" ht="12.0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</row>
    <row r="715" ht="12.0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</row>
    <row r="716" ht="12.0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</row>
    <row r="717" ht="12.0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</row>
    <row r="718" ht="12.0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</row>
    <row r="719" ht="12.0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</row>
    <row r="720" ht="12.0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</row>
    <row r="721" ht="12.0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</row>
    <row r="722" ht="12.0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</row>
    <row r="723" ht="12.0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</row>
    <row r="724" ht="12.0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</row>
    <row r="725" ht="12.0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</row>
    <row r="726" ht="12.0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</row>
    <row r="727" ht="12.0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</row>
    <row r="728" ht="12.0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</row>
    <row r="729" ht="12.0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</row>
    <row r="730" ht="12.0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</row>
    <row r="731" ht="12.0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</row>
    <row r="732" ht="12.0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</row>
    <row r="733" ht="12.0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</row>
    <row r="734" ht="12.0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</row>
    <row r="735" ht="12.0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</row>
    <row r="736" ht="12.0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</row>
    <row r="737" ht="12.0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</row>
    <row r="738" ht="12.0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</row>
    <row r="739" ht="12.0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</row>
    <row r="740" ht="12.0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</row>
    <row r="741" ht="12.0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</row>
    <row r="742" ht="12.0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</row>
    <row r="743" ht="12.0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</row>
    <row r="744" ht="12.0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</row>
    <row r="745" ht="12.0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</row>
    <row r="746" ht="12.0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</row>
    <row r="747" ht="12.0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</row>
    <row r="748" ht="12.0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</row>
    <row r="749" ht="12.0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</row>
    <row r="750" ht="12.0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</row>
    <row r="751" ht="12.0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</row>
    <row r="752" ht="12.0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</row>
    <row r="753" ht="12.0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</row>
    <row r="754" ht="12.0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</row>
    <row r="755" ht="12.0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</row>
    <row r="756" ht="12.0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</row>
    <row r="757" ht="12.0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</row>
    <row r="758" ht="12.0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</row>
    <row r="759" ht="12.0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</row>
    <row r="760" ht="12.0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</row>
    <row r="761" ht="12.0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</row>
    <row r="762" ht="12.0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</row>
    <row r="763" ht="12.0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</row>
    <row r="764" ht="12.0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</row>
    <row r="765" ht="12.0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</row>
    <row r="766" ht="12.0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</row>
    <row r="767" ht="12.0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</row>
    <row r="768" ht="12.0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</row>
    <row r="769" ht="12.0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</row>
    <row r="770" ht="12.0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</row>
    <row r="771" ht="12.0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</row>
    <row r="772" ht="12.0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</row>
    <row r="773" ht="12.0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</row>
    <row r="774" ht="12.0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</row>
    <row r="775" ht="12.0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</row>
    <row r="776" ht="12.0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</row>
    <row r="777" ht="12.0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</row>
    <row r="778" ht="12.0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</row>
    <row r="779" ht="12.0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</row>
    <row r="780" ht="12.0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</row>
    <row r="781" ht="12.0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</row>
    <row r="782" ht="12.0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</row>
    <row r="783" ht="12.0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</row>
    <row r="784" ht="12.0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</row>
    <row r="785" ht="12.0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</row>
    <row r="786" ht="12.0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</row>
    <row r="787" ht="12.0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</row>
    <row r="788" ht="12.0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</row>
    <row r="789" ht="12.0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</row>
    <row r="790" ht="12.0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</row>
    <row r="791" ht="12.0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</row>
    <row r="792" ht="12.0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</row>
    <row r="793" ht="12.0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</row>
    <row r="794" ht="12.0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</row>
    <row r="795" ht="12.0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</row>
    <row r="796" ht="12.0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</row>
    <row r="797" ht="12.0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</row>
    <row r="798" ht="12.0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</row>
    <row r="799" ht="12.0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</row>
    <row r="800" ht="12.0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</row>
    <row r="801" ht="12.0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</row>
    <row r="802" ht="12.0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</row>
    <row r="803" ht="12.0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</row>
    <row r="804" ht="12.0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</row>
    <row r="805" ht="12.0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</row>
    <row r="806" ht="12.0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</row>
    <row r="807" ht="12.0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</row>
    <row r="808" ht="12.0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</row>
    <row r="809" ht="12.0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</row>
    <row r="810" ht="12.0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</row>
    <row r="811" ht="12.0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</row>
    <row r="812" ht="12.0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</row>
    <row r="813" ht="12.0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</row>
    <row r="814" ht="12.0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</row>
    <row r="815" ht="12.0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</row>
    <row r="816" ht="12.0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</row>
    <row r="817" ht="12.0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</row>
    <row r="818" ht="12.0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</row>
    <row r="819" ht="12.0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</row>
    <row r="820" ht="12.0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</row>
    <row r="821" ht="12.0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</row>
    <row r="822" ht="12.0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</row>
    <row r="823" ht="12.0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</row>
    <row r="824" ht="12.0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</row>
    <row r="825" ht="12.0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</row>
    <row r="826" ht="12.0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</row>
    <row r="827" ht="12.0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</row>
    <row r="828" ht="12.0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</row>
    <row r="829" ht="12.0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</row>
    <row r="830" ht="12.0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</row>
    <row r="831" ht="12.0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</row>
    <row r="832" ht="12.0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</row>
    <row r="833" ht="12.0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</row>
    <row r="834" ht="12.0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</row>
    <row r="835" ht="12.0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</row>
    <row r="836" ht="12.0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</row>
    <row r="837" ht="12.0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</row>
    <row r="838" ht="12.0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</row>
    <row r="839" ht="12.0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</row>
    <row r="840" ht="12.0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</row>
    <row r="841" ht="12.0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</row>
    <row r="842" ht="12.0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</row>
    <row r="843" ht="12.0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</row>
    <row r="844" ht="12.0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</row>
    <row r="845" ht="12.0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</row>
    <row r="846" ht="12.0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</row>
    <row r="847" ht="12.0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</row>
    <row r="848" ht="12.0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</row>
    <row r="849" ht="12.0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</row>
    <row r="850" ht="12.0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</row>
    <row r="851" ht="12.0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</row>
    <row r="852" ht="12.0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</row>
    <row r="853" ht="12.0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</row>
    <row r="854" ht="12.0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</row>
    <row r="855" ht="12.0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</row>
    <row r="856" ht="12.0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</row>
    <row r="857" ht="12.0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</row>
    <row r="858" ht="12.0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</row>
    <row r="859" ht="12.0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</row>
    <row r="860" ht="12.0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</row>
    <row r="861" ht="12.0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</row>
    <row r="862" ht="12.0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</row>
    <row r="863" ht="12.0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</row>
    <row r="864" ht="12.0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</row>
    <row r="865" ht="12.0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</row>
    <row r="866" ht="12.0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</row>
    <row r="867" ht="12.0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</row>
    <row r="868" ht="12.0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</row>
    <row r="869" ht="12.0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</row>
    <row r="870" ht="12.0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</row>
    <row r="871" ht="12.0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</row>
    <row r="872" ht="12.0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</row>
    <row r="873" ht="12.0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</row>
    <row r="874" ht="12.0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</row>
    <row r="875" ht="12.0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</row>
    <row r="876" ht="12.0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</row>
    <row r="877" ht="12.0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</row>
    <row r="878" ht="12.0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</row>
    <row r="879" ht="12.0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</row>
    <row r="880" ht="12.0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</row>
    <row r="881" ht="12.0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</row>
    <row r="882" ht="12.0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</row>
    <row r="883" ht="12.0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</row>
    <row r="884" ht="12.0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</row>
    <row r="885" ht="12.0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</row>
    <row r="886" ht="12.0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</row>
    <row r="887" ht="12.0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</row>
    <row r="888" ht="12.0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</row>
    <row r="889" ht="12.0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</row>
    <row r="890" ht="12.0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</row>
    <row r="891" ht="12.0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</row>
    <row r="892" ht="12.0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</row>
    <row r="893" ht="12.0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</row>
    <row r="894" ht="12.0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</row>
    <row r="895" ht="12.0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</row>
    <row r="896" ht="12.0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</row>
    <row r="897" ht="12.0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</row>
    <row r="898" ht="12.0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</row>
    <row r="899" ht="12.0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</row>
    <row r="900" ht="12.0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</row>
    <row r="901" ht="12.0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</row>
    <row r="902" ht="12.0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</row>
    <row r="903" ht="12.0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</row>
    <row r="904" ht="12.0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</row>
    <row r="905" ht="12.0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</row>
    <row r="906" ht="12.0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</row>
    <row r="907" ht="12.0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</row>
    <row r="908" ht="12.0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</row>
    <row r="909" ht="12.0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</row>
    <row r="910" ht="12.0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</row>
    <row r="911" ht="12.0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</row>
    <row r="912" ht="12.0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</row>
    <row r="913" ht="12.0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</row>
    <row r="914" ht="12.0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</row>
    <row r="915" ht="12.0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</row>
    <row r="916" ht="12.0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</row>
    <row r="917" ht="12.0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</row>
    <row r="918" ht="12.0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</row>
    <row r="919" ht="12.0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</row>
    <row r="920" ht="12.0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</row>
    <row r="921" ht="12.0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</row>
    <row r="922" ht="12.0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</row>
    <row r="923" ht="12.0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</row>
    <row r="924" ht="12.0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</row>
    <row r="925" ht="12.0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</row>
    <row r="926" ht="12.0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</row>
    <row r="927" ht="12.0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</row>
    <row r="928" ht="12.0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</row>
    <row r="929" ht="12.0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</row>
    <row r="930" ht="12.0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</row>
    <row r="931" ht="12.0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</row>
    <row r="932" ht="12.0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</row>
    <row r="933" ht="12.0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</row>
    <row r="934" ht="12.0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</row>
    <row r="935" ht="12.0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</row>
    <row r="936" ht="12.0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</row>
    <row r="937" ht="12.0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</row>
    <row r="938" ht="12.0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</row>
    <row r="939" ht="12.0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</row>
    <row r="940" ht="12.0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</row>
    <row r="941" ht="12.0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</row>
    <row r="942" ht="12.0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</row>
    <row r="943" ht="12.0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</row>
    <row r="944" ht="12.0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</row>
    <row r="945" ht="12.0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</row>
    <row r="946" ht="12.0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</row>
    <row r="947" ht="12.0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</row>
    <row r="948" ht="12.0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</row>
    <row r="949" ht="12.0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</row>
    <row r="950" ht="12.0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</row>
    <row r="951" ht="12.0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</row>
    <row r="952" ht="12.0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</row>
    <row r="953" ht="12.0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</row>
    <row r="954" ht="12.0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</row>
    <row r="955" ht="12.0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</row>
    <row r="956" ht="12.0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</row>
    <row r="957" ht="12.0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</row>
    <row r="958" ht="12.0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</row>
    <row r="959" ht="12.0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</row>
    <row r="960" ht="12.0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</row>
    <row r="961" ht="12.0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</row>
    <row r="962" ht="12.0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</row>
    <row r="963" ht="12.0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</row>
    <row r="964" ht="12.0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</row>
    <row r="965" ht="12.0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</row>
    <row r="966" ht="12.0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</row>
    <row r="967" ht="12.0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</row>
    <row r="968" ht="12.0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</row>
    <row r="969" ht="12.0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</row>
    <row r="970" ht="12.0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</row>
    <row r="971" ht="12.0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</row>
    <row r="972" ht="12.0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</row>
    <row r="973" ht="12.0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</row>
    <row r="974" ht="12.0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</row>
    <row r="975" ht="12.0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</row>
    <row r="976" ht="12.0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</row>
    <row r="977" ht="12.0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</row>
    <row r="978" ht="12.0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</row>
    <row r="979" ht="12.0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</row>
    <row r="980" ht="12.0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</row>
    <row r="981" ht="12.0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</row>
    <row r="982" ht="12.0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</row>
    <row r="983" ht="12.0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</row>
    <row r="984" ht="12.0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</row>
    <row r="985" ht="12.0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</row>
    <row r="986" ht="12.0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</row>
    <row r="987" ht="12.0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</row>
    <row r="988" ht="12.0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</row>
    <row r="989" ht="12.0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</row>
    <row r="990" ht="12.0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</row>
    <row r="991" ht="12.0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</row>
    <row r="992" ht="12.0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</row>
    <row r="993" ht="12.0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</row>
    <row r="994" ht="12.0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</row>
    <row r="995" ht="12.0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</row>
    <row r="996" ht="12.0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</row>
    <row r="997" ht="12.0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</row>
    <row r="998" ht="12.0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</row>
    <row r="999" ht="12.0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</row>
    <row r="1000" ht="12.0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</row>
  </sheetData>
  <mergeCells count="237">
    <mergeCell ref="K31:L31"/>
    <mergeCell ref="K32:L32"/>
    <mergeCell ref="K28:L28"/>
    <mergeCell ref="K29:L29"/>
    <mergeCell ref="H30:I30"/>
    <mergeCell ref="K30:L30"/>
    <mergeCell ref="N30:P30"/>
    <mergeCell ref="H31:I31"/>
    <mergeCell ref="H32:I32"/>
    <mergeCell ref="H36:I36"/>
    <mergeCell ref="H37:I37"/>
    <mergeCell ref="H40:I40"/>
    <mergeCell ref="H41:I41"/>
    <mergeCell ref="H42:I42"/>
    <mergeCell ref="H43:I43"/>
    <mergeCell ref="H44:I44"/>
    <mergeCell ref="H45:I45"/>
    <mergeCell ref="K37:L37"/>
    <mergeCell ref="K40:L40"/>
    <mergeCell ref="K41:L41"/>
    <mergeCell ref="K42:L42"/>
    <mergeCell ref="K43:L43"/>
    <mergeCell ref="K44:L44"/>
    <mergeCell ref="K45:L45"/>
    <mergeCell ref="H33:I33"/>
    <mergeCell ref="K33:L33"/>
    <mergeCell ref="H34:I34"/>
    <mergeCell ref="K34:L34"/>
    <mergeCell ref="H35:I35"/>
    <mergeCell ref="K35:L35"/>
    <mergeCell ref="K36:L36"/>
    <mergeCell ref="A39:B39"/>
    <mergeCell ref="A40:B40"/>
    <mergeCell ref="A41:B41"/>
    <mergeCell ref="A42:B42"/>
    <mergeCell ref="A43:B43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H39:I39"/>
    <mergeCell ref="A46:I46"/>
    <mergeCell ref="A35:B35"/>
    <mergeCell ref="A36:B36"/>
    <mergeCell ref="A37:B37"/>
    <mergeCell ref="A38:B38"/>
    <mergeCell ref="H38:I38"/>
    <mergeCell ref="K38:L38"/>
    <mergeCell ref="K39:L39"/>
    <mergeCell ref="D25:F25"/>
    <mergeCell ref="H25:I25"/>
    <mergeCell ref="N25:P25"/>
    <mergeCell ref="X25:Z25"/>
    <mergeCell ref="H26:I26"/>
    <mergeCell ref="N26:P26"/>
    <mergeCell ref="U26:V26"/>
    <mergeCell ref="A25:B25"/>
    <mergeCell ref="A27:B27"/>
    <mergeCell ref="H27:I27"/>
    <mergeCell ref="K27:L27"/>
    <mergeCell ref="D28:F28"/>
    <mergeCell ref="H28:I28"/>
    <mergeCell ref="H29:I29"/>
    <mergeCell ref="U28:V28"/>
    <mergeCell ref="U29:V29"/>
    <mergeCell ref="R25:S25"/>
    <mergeCell ref="R26:S26"/>
    <mergeCell ref="R27:S27"/>
    <mergeCell ref="U27:V27"/>
    <mergeCell ref="R28:S28"/>
    <mergeCell ref="X28:Z28"/>
    <mergeCell ref="R29:S29"/>
    <mergeCell ref="R38:S38"/>
    <mergeCell ref="R39:S39"/>
    <mergeCell ref="R40:S40"/>
    <mergeCell ref="R41:S41"/>
    <mergeCell ref="R42:S42"/>
    <mergeCell ref="R43:S43"/>
    <mergeCell ref="R44:S44"/>
    <mergeCell ref="R45:S45"/>
    <mergeCell ref="U39:V39"/>
    <mergeCell ref="U40:V40"/>
    <mergeCell ref="U41:V41"/>
    <mergeCell ref="U42:V42"/>
    <mergeCell ref="U43:V43"/>
    <mergeCell ref="U44:V44"/>
    <mergeCell ref="U34:V34"/>
    <mergeCell ref="U35:V35"/>
    <mergeCell ref="R36:S36"/>
    <mergeCell ref="U36:V36"/>
    <mergeCell ref="R37:S37"/>
    <mergeCell ref="U37:V37"/>
    <mergeCell ref="U38:V38"/>
    <mergeCell ref="R12:S12"/>
    <mergeCell ref="R13:S13"/>
    <mergeCell ref="A11:B11"/>
    <mergeCell ref="A12:B12"/>
    <mergeCell ref="K12:L12"/>
    <mergeCell ref="U12:V12"/>
    <mergeCell ref="A13:B13"/>
    <mergeCell ref="K13:L13"/>
    <mergeCell ref="U13:V13"/>
    <mergeCell ref="W9:Z9"/>
    <mergeCell ref="AA9:AC9"/>
    <mergeCell ref="N10:P10"/>
    <mergeCell ref="R10:S10"/>
    <mergeCell ref="X10:Z10"/>
    <mergeCell ref="AB10:AC10"/>
    <mergeCell ref="A9:B10"/>
    <mergeCell ref="C9:F9"/>
    <mergeCell ref="G9:I9"/>
    <mergeCell ref="K9:L10"/>
    <mergeCell ref="M9:P9"/>
    <mergeCell ref="Q9:S9"/>
    <mergeCell ref="U9:V10"/>
    <mergeCell ref="D10:F10"/>
    <mergeCell ref="H10:I10"/>
    <mergeCell ref="H11:I11"/>
    <mergeCell ref="K11:L11"/>
    <mergeCell ref="R11:S11"/>
    <mergeCell ref="U11:V11"/>
    <mergeCell ref="AB11:AC11"/>
    <mergeCell ref="H12:I12"/>
    <mergeCell ref="H13:I13"/>
    <mergeCell ref="AB12:AC12"/>
    <mergeCell ref="AB13:AC13"/>
    <mergeCell ref="AB14:AC14"/>
    <mergeCell ref="AB15:AC15"/>
    <mergeCell ref="K14:L14"/>
    <mergeCell ref="K15:L15"/>
    <mergeCell ref="U20:V20"/>
    <mergeCell ref="U21:V21"/>
    <mergeCell ref="K18:L18"/>
    <mergeCell ref="K19:L19"/>
    <mergeCell ref="R19:S19"/>
    <mergeCell ref="U19:V19"/>
    <mergeCell ref="R20:S20"/>
    <mergeCell ref="X20:Z20"/>
    <mergeCell ref="R21:S21"/>
    <mergeCell ref="H19:I19"/>
    <mergeCell ref="H20:I20"/>
    <mergeCell ref="H21:I21"/>
    <mergeCell ref="K21:L21"/>
    <mergeCell ref="K22:L22"/>
    <mergeCell ref="R22:S22"/>
    <mergeCell ref="U22:V22"/>
    <mergeCell ref="H22:I22"/>
    <mergeCell ref="H23:I23"/>
    <mergeCell ref="K23:L23"/>
    <mergeCell ref="R23:S23"/>
    <mergeCell ref="H24:I24"/>
    <mergeCell ref="K24:L24"/>
    <mergeCell ref="R24:S24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7:AC27"/>
    <mergeCell ref="AB28:AC28"/>
    <mergeCell ref="AB29:AC29"/>
    <mergeCell ref="AB30:AC30"/>
    <mergeCell ref="AB31:AC31"/>
    <mergeCell ref="AB39:AC39"/>
    <mergeCell ref="AB40:AC40"/>
    <mergeCell ref="AB41:AC41"/>
    <mergeCell ref="AB42:AC42"/>
    <mergeCell ref="AB43:AC43"/>
    <mergeCell ref="AB44:AC44"/>
    <mergeCell ref="AB32:AC32"/>
    <mergeCell ref="AB33:AC33"/>
    <mergeCell ref="AB34:AC34"/>
    <mergeCell ref="AB35:AC35"/>
    <mergeCell ref="AB36:AC36"/>
    <mergeCell ref="AB37:AC37"/>
    <mergeCell ref="AB38:AC38"/>
    <mergeCell ref="A14:B14"/>
    <mergeCell ref="H14:I14"/>
    <mergeCell ref="U14:V14"/>
    <mergeCell ref="D15:F15"/>
    <mergeCell ref="H15:I15"/>
    <mergeCell ref="N15:P15"/>
    <mergeCell ref="U15:V15"/>
    <mergeCell ref="H17:I17"/>
    <mergeCell ref="H18:I18"/>
    <mergeCell ref="N18:P18"/>
    <mergeCell ref="R18:S18"/>
    <mergeCell ref="U18:V18"/>
    <mergeCell ref="R14:S14"/>
    <mergeCell ref="R15:S15"/>
    <mergeCell ref="R16:S16"/>
    <mergeCell ref="U16:V16"/>
    <mergeCell ref="AB16:AC16"/>
    <mergeCell ref="R17:S17"/>
    <mergeCell ref="U17:V17"/>
    <mergeCell ref="A15:B15"/>
    <mergeCell ref="A16:B16"/>
    <mergeCell ref="H16:I16"/>
    <mergeCell ref="K16:L16"/>
    <mergeCell ref="A17:B17"/>
    <mergeCell ref="K17:L17"/>
    <mergeCell ref="D20:F20"/>
    <mergeCell ref="K20:L20"/>
    <mergeCell ref="U23:V23"/>
    <mergeCell ref="U24:V24"/>
    <mergeCell ref="U25:V25"/>
    <mergeCell ref="AB26:AC26"/>
    <mergeCell ref="A18:B18"/>
    <mergeCell ref="A19:B19"/>
    <mergeCell ref="A20:B20"/>
    <mergeCell ref="A21:B21"/>
    <mergeCell ref="A22:B22"/>
    <mergeCell ref="A23:B23"/>
    <mergeCell ref="A24:B24"/>
    <mergeCell ref="A26:B26"/>
    <mergeCell ref="K25:L25"/>
    <mergeCell ref="K26:L26"/>
    <mergeCell ref="R33:S33"/>
    <mergeCell ref="R34:S34"/>
    <mergeCell ref="R35:S35"/>
    <mergeCell ref="U45:AC45"/>
    <mergeCell ref="R30:S30"/>
    <mergeCell ref="U30:V30"/>
    <mergeCell ref="R31:S31"/>
    <mergeCell ref="U31:V31"/>
    <mergeCell ref="R32:S32"/>
    <mergeCell ref="U32:V32"/>
    <mergeCell ref="U33:V33"/>
  </mergeCells>
  <conditionalFormatting sqref="A16:B16 A18:B18 A21:B21 A23:B23 A25:B26">
    <cfRule type="expression" dxfId="0" priority="1" stopIfTrue="1">
      <formula>AND(XFA16&gt;0,A16=0)</formula>
    </cfRule>
  </conditionalFormatting>
  <conditionalFormatting sqref="A20:B20">
    <cfRule type="expression" dxfId="0" priority="2" stopIfTrue="1">
      <formula>AND(#REF!&gt;0,A20=0)</formula>
    </cfRule>
  </conditionalFormatting>
  <conditionalFormatting sqref="C11:D13">
    <cfRule type="expression" dxfId="1" priority="3" stopIfTrue="1">
      <formula>ISERROR(C11)</formula>
    </cfRule>
  </conditionalFormatting>
  <conditionalFormatting sqref="C11:C45 D11:F14 D16:F19 D21:F24 D26:F29 D31:F34 D36:F39 D41:F44 G11:I45 I11:I41 I44:I45 M11:M45 M30:S30 N11:P14 N16:P24 N26:P29 N31:P34 N36:P39 N41:P44 Q11:S45 X11:Z14 X16:Z19 X21:Z24 X26:Z29 X31:Z34 X32:Y34 X36:Z39 X41:Z44">
    <cfRule type="expression" dxfId="1" priority="4" stopIfTrue="1">
      <formula>ISERROR(C11)</formula>
    </cfRule>
  </conditionalFormatting>
  <conditionalFormatting sqref="F11:F13">
    <cfRule type="expression" dxfId="1" priority="5" stopIfTrue="1">
      <formula>ISERROR(F11)</formula>
    </cfRule>
  </conditionalFormatting>
  <conditionalFormatting sqref="G9:I9 Q9:S9 AA9:AC9">
    <cfRule type="cellIs" dxfId="2" priority="6" stopIfTrue="1" operator="equal">
      <formula>0</formula>
    </cfRule>
  </conditionalFormatting>
  <conditionalFormatting sqref="K16:L16 K18:L18">
    <cfRule type="expression" dxfId="0" priority="7" stopIfTrue="1">
      <formula>AND(#REF!&gt;0,K16=0)</formula>
    </cfRule>
  </conditionalFormatting>
  <conditionalFormatting sqref="K16:L16 K18:L18">
    <cfRule type="expression" dxfId="0" priority="8" stopIfTrue="1">
      <formula>AND(#REF!&gt;0,K16=0)</formula>
    </cfRule>
  </conditionalFormatting>
  <conditionalFormatting sqref="K16:L16 K18:L18">
    <cfRule type="expression" dxfId="0" priority="9" stopIfTrue="1">
      <formula>AND(#REF!&gt;0,K16=0)</formula>
    </cfRule>
  </conditionalFormatting>
  <conditionalFormatting sqref="K16:L16 K18:L18 K21:L21 K23:L23">
    <cfRule type="expression" dxfId="0" priority="10" stopIfTrue="1">
      <formula>AND(G16&gt;0,K16=0)</formula>
    </cfRule>
  </conditionalFormatting>
  <conditionalFormatting sqref="K16:L16 K18:L18 K21:L21 K23:L23">
    <cfRule type="expression" dxfId="0" priority="11" stopIfTrue="1">
      <formula>AND(G16&gt;0,K16=0)</formula>
    </cfRule>
  </conditionalFormatting>
  <conditionalFormatting sqref="K21:L21 K23:L23">
    <cfRule type="expression" dxfId="0" priority="12" stopIfTrue="1">
      <formula>AND(#REF!&gt;0,K21=0)</formula>
    </cfRule>
  </conditionalFormatting>
  <conditionalFormatting sqref="K21:L21 K23:L23">
    <cfRule type="expression" dxfId="0" priority="13" stopIfTrue="1">
      <formula>AND(#REF!&gt;0,K21=0)</formula>
    </cfRule>
  </conditionalFormatting>
  <conditionalFormatting sqref="K21:L21 K23:L23">
    <cfRule type="expression" dxfId="0" priority="14" stopIfTrue="1">
      <formula>AND(#REF!&gt;0,K21=0)</formula>
    </cfRule>
  </conditionalFormatting>
  <conditionalFormatting sqref="K21:L21">
    <cfRule type="expression" dxfId="0" priority="15" stopIfTrue="1">
      <formula>AND(G21&gt;0,K21=0)</formula>
    </cfRule>
  </conditionalFormatting>
  <conditionalFormatting sqref="K21:L21">
    <cfRule type="expression" dxfId="0" priority="16" stopIfTrue="1">
      <formula>AND(G21&gt;0,K21=0)</formula>
    </cfRule>
  </conditionalFormatting>
  <conditionalFormatting sqref="K21:L21">
    <cfRule type="expression" dxfId="0" priority="17" stopIfTrue="1">
      <formula>AND(#REF!&gt;0,K21=0)</formula>
    </cfRule>
  </conditionalFormatting>
  <conditionalFormatting sqref="K26:L26">
    <cfRule type="expression" dxfId="0" priority="18" stopIfTrue="1">
      <formula>AND(#REF!&gt;0,K26=0)</formula>
    </cfRule>
  </conditionalFormatting>
  <conditionalFormatting sqref="K28:L28">
    <cfRule type="expression" dxfId="0" priority="19" stopIfTrue="1">
      <formula>AND(G28&gt;0,K28=0)</formula>
    </cfRule>
  </conditionalFormatting>
  <conditionalFormatting sqref="M11:N13">
    <cfRule type="expression" dxfId="1" priority="20" stopIfTrue="1">
      <formula>ISERROR(M11)</formula>
    </cfRule>
  </conditionalFormatting>
  <conditionalFormatting sqref="P11:P13">
    <cfRule type="expression" dxfId="1" priority="21" stopIfTrue="1">
      <formula>ISERROR(P11)</formula>
    </cfRule>
  </conditionalFormatting>
  <conditionalFormatting sqref="U11:V11 U16:V16 U18:V18">
    <cfRule type="expression" dxfId="0" priority="22" stopIfTrue="1">
      <formula>AND(#REF!&gt;0,U11=0)</formula>
    </cfRule>
  </conditionalFormatting>
  <conditionalFormatting sqref="U11:V11 U16:V16 U18:V18">
    <cfRule type="expression" dxfId="0" priority="23" stopIfTrue="1">
      <formula>AND(#REF!&gt;0,U11=0)</formula>
    </cfRule>
  </conditionalFormatting>
  <conditionalFormatting sqref="U11:V11">
    <cfRule type="expression" dxfId="0" priority="24" stopIfTrue="1">
      <formula>AND(Q11&gt;0,U11=0)</formula>
    </cfRule>
  </conditionalFormatting>
  <conditionalFormatting sqref="U11:V11">
    <cfRule type="expression" dxfId="0" priority="25" stopIfTrue="1">
      <formula>AND(Q11&gt;0,U11=0)</formula>
    </cfRule>
  </conditionalFormatting>
  <conditionalFormatting sqref="U16:V16 U18:V18 U21:V21 U23:V23">
    <cfRule type="expression" dxfId="0" priority="26" stopIfTrue="1">
      <formula>AND(Q16&gt;0,U16=0)</formula>
    </cfRule>
  </conditionalFormatting>
  <conditionalFormatting sqref="U16:V16 U18:V18">
    <cfRule type="expression" dxfId="0" priority="27" stopIfTrue="1">
      <formula>AND(#REF!&gt;0,U16=0)</formula>
    </cfRule>
  </conditionalFormatting>
  <conditionalFormatting sqref="U16:V16 U18:V18">
    <cfRule type="expression" dxfId="0" priority="28" stopIfTrue="1">
      <formula>AND(Q16&gt;0,U16=0)</formula>
    </cfRule>
  </conditionalFormatting>
  <conditionalFormatting sqref="W11:W45 AA11:AC45">
    <cfRule type="expression" dxfId="1" priority="29" stopIfTrue="1">
      <formula>ISERROR(W11)</formula>
    </cfRule>
  </conditionalFormatting>
  <conditionalFormatting sqref="W11:X13">
    <cfRule type="expression" dxfId="1" priority="30" stopIfTrue="1">
      <formula>ISERROR(W11)</formula>
    </cfRule>
  </conditionalFormatting>
  <conditionalFormatting sqref="Z11:Z13">
    <cfRule type="expression" dxfId="1" priority="31" stopIfTrue="1">
      <formula>ISERROR(Z11)</formula>
    </cfRule>
  </conditionalFormatting>
  <dataValidations>
    <dataValidation type="list" allowBlank="1" showInputMessage="1" prompt="Notes - Use the drop-down to select a note for this exercise. To add a note to the drop-down, select the notes worksheet and add the note." sqref="H11 R11 H16 R16 AB16 H21 R21 AB21 H26 R26 AB26 H31 R31 AB31 H36 R36 AB36 H41 R41 AB41">
      <formula1>Notes</formula1>
    </dataValidation>
    <dataValidation type="list" allowBlank="1" showInputMessage="1" prompt="Exercise Selection - Select the exercise based on the exercise class from the drop-down list. These exercises are listed on the MaxSheet worksheet." sqref="U13 A16 K16 U16 K18 U18 A20:A21 K20:K21 U21 K23 K26 U26 U28 K31 U31 U33 K41 U41 K43 U43 K45 U45">
      <formula1>INDIRECT(HLOOKUP(#REF!,SECONDARYLOOKUP,2,FALSE))</formula1>
    </dataValidation>
    <dataValidation type="list" allowBlank="1" showErrorMessage="1" sqref="H12:H15 R12:R15 AB11:AB15 H17:H20 R17:R20 AB17:AB20 H22:H25 R22:R25 AB22:AB25 H27:H30 R27:R30 AB27:AB30 H32:H35 R32:R35 AB32:AB35 H37:H40 R37:R40 AB37:AB40 AB42:AB44 H44:H45 R42:R45">
      <formula1>Notes</formula1>
    </dataValidation>
    <dataValidation type="list" allowBlank="1" showInputMessage="1" prompt="Exercise Selection - Select the exercise based on the exercise class from the drop-down list. These exercises are listed on the MaxSheet worksheet." sqref="A11 U11 A15 K15 U15 U20 U23 K25 A25:A26 A28 K30 U30 A30:A31 A33 A35:A36 K35:K36 U35:U36 A38 K38 U38 K40 U40 A40:A41 A45">
      <formula1>INDIRECT(HLOOKUP(XFA11,SECONDARYLOOKUP,2,FALSE))</formula1>
    </dataValidation>
  </dataValidations>
  <hyperlinks>
    <hyperlink r:id="rId1" ref="E11"/>
    <hyperlink r:id="rId2" ref="O11"/>
    <hyperlink r:id="rId3" ref="Y11"/>
    <hyperlink r:id="rId4" ref="E16"/>
    <hyperlink r:id="rId5" ref="O16"/>
    <hyperlink r:id="rId6" ref="Y16"/>
    <hyperlink r:id="rId7" ref="E18"/>
    <hyperlink r:id="rId8" ref="Y18"/>
    <hyperlink r:id="rId9" ref="E21"/>
    <hyperlink r:id="rId10" ref="Y26"/>
  </hyperlinks>
  <printOptions/>
  <pageMargins bottom="0.25" footer="0.0" header="0.0" left="0.45" right="0.2" top="0.25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workbookViewId="0"/>
  </sheetViews>
  <sheetFormatPr customHeight="1" defaultColWidth="12.63" defaultRowHeight="15.75"/>
  <cols>
    <col customWidth="1" min="1" max="2" width="6.38"/>
    <col customWidth="1" min="3" max="3" width="3.5"/>
    <col customWidth="1" min="4" max="4" width="3.38"/>
    <col customWidth="1" min="5" max="5" width="1.63"/>
    <col customWidth="1" min="6" max="6" width="4.0"/>
    <col customWidth="1" min="7" max="7" width="3.5"/>
    <col customWidth="1" min="8" max="9" width="3.75"/>
    <col customWidth="1" min="10" max="10" width="2.13"/>
    <col customWidth="1" min="11" max="12" width="7.0"/>
    <col customWidth="1" min="13" max="13" width="3.38"/>
    <col customWidth="1" min="14" max="14" width="3.75"/>
    <col customWidth="1" min="15" max="15" width="2.13"/>
    <col customWidth="1" min="16" max="17" width="3.88"/>
    <col customWidth="1" min="18" max="19" width="3.75"/>
    <col customWidth="1" min="20" max="20" width="1.38"/>
    <col customWidth="1" min="21" max="22" width="6.5"/>
    <col customWidth="1" min="23" max="23" width="3.13"/>
    <col customWidth="1" min="24" max="24" width="3.38"/>
    <col customWidth="1" min="25" max="25" width="1.63"/>
    <col customWidth="1" min="26" max="26" width="3.25"/>
    <col customWidth="1" min="27" max="27" width="4.38"/>
    <col customWidth="1" min="28" max="29" width="4.25"/>
    <col customWidth="1" min="30" max="30" width="8.0"/>
  </cols>
  <sheetData>
    <row r="1" ht="40.5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75" customHeight="1">
      <c r="A9" s="1" t="s">
        <v>0</v>
      </c>
      <c r="B9" s="2"/>
      <c r="C9" s="3" t="s">
        <v>62</v>
      </c>
      <c r="D9" s="4"/>
      <c r="E9" s="4"/>
      <c r="F9" s="4"/>
      <c r="G9" s="5" t="s">
        <v>2</v>
      </c>
      <c r="H9" s="4"/>
      <c r="I9" s="6"/>
      <c r="J9" s="7"/>
      <c r="K9" s="1" t="s">
        <v>3</v>
      </c>
      <c r="L9" s="2"/>
      <c r="M9" s="3" t="s">
        <v>62</v>
      </c>
      <c r="N9" s="4"/>
      <c r="O9" s="4"/>
      <c r="P9" s="4"/>
      <c r="Q9" s="5" t="s">
        <v>2</v>
      </c>
      <c r="R9" s="4"/>
      <c r="S9" s="6"/>
      <c r="T9" s="7"/>
      <c r="U9" s="1" t="s">
        <v>4</v>
      </c>
      <c r="V9" s="2"/>
      <c r="W9" s="3" t="s">
        <v>62</v>
      </c>
      <c r="X9" s="4"/>
      <c r="Y9" s="4"/>
      <c r="Z9" s="4"/>
      <c r="AA9" s="5" t="s">
        <v>2</v>
      </c>
      <c r="AB9" s="4"/>
      <c r="AC9" s="6"/>
      <c r="AD9" s="7"/>
    </row>
    <row r="10" ht="12.0" customHeight="1">
      <c r="A10" s="8"/>
      <c r="B10" s="9"/>
      <c r="C10" s="10" t="s">
        <v>5</v>
      </c>
      <c r="D10" s="11" t="s">
        <v>6</v>
      </c>
      <c r="E10" s="4"/>
      <c r="F10" s="4"/>
      <c r="G10" s="12" t="s">
        <v>7</v>
      </c>
      <c r="H10" s="11" t="s">
        <v>8</v>
      </c>
      <c r="I10" s="6"/>
      <c r="J10" s="7"/>
      <c r="K10" s="8"/>
      <c r="L10" s="9"/>
      <c r="M10" s="10" t="s">
        <v>5</v>
      </c>
      <c r="N10" s="11" t="s">
        <v>6</v>
      </c>
      <c r="O10" s="4"/>
      <c r="P10" s="4"/>
      <c r="Q10" s="12" t="s">
        <v>7</v>
      </c>
      <c r="R10" s="11" t="s">
        <v>8</v>
      </c>
      <c r="S10" s="6"/>
      <c r="T10" s="7"/>
      <c r="U10" s="8"/>
      <c r="V10" s="9"/>
      <c r="W10" s="10" t="s">
        <v>5</v>
      </c>
      <c r="X10" s="11" t="s">
        <v>6</v>
      </c>
      <c r="Y10" s="4"/>
      <c r="Z10" s="4"/>
      <c r="AA10" s="12" t="s">
        <v>7</v>
      </c>
      <c r="AB10" s="11" t="s">
        <v>8</v>
      </c>
      <c r="AC10" s="6"/>
      <c r="AD10" s="7"/>
    </row>
    <row r="11" ht="12.0" customHeight="1">
      <c r="A11" s="13" t="s">
        <v>9</v>
      </c>
      <c r="B11" s="14"/>
      <c r="C11" s="15">
        <v>5.0</v>
      </c>
      <c r="D11" s="16">
        <f>CEILING((72.5%*(90%*N8)),5)</f>
        <v>0</v>
      </c>
      <c r="E11" s="17" t="s">
        <v>10</v>
      </c>
      <c r="F11" s="18">
        <f>CEILING((77.5%*(90%*N8)),5)</f>
        <v>0</v>
      </c>
      <c r="G11" s="19">
        <v>1.0</v>
      </c>
      <c r="H11" s="20"/>
      <c r="I11" s="14"/>
      <c r="J11" s="7"/>
      <c r="K11" s="21" t="s">
        <v>11</v>
      </c>
      <c r="L11" s="22"/>
      <c r="M11" s="15">
        <v>5.0</v>
      </c>
      <c r="N11" s="16">
        <f>CEILING((72.5%*(90%*Q8)),5)</f>
        <v>0</v>
      </c>
      <c r="O11" s="17" t="s">
        <v>10</v>
      </c>
      <c r="P11" s="18">
        <f>CEILING((77.5%*(90%*Q8)),5)</f>
        <v>0</v>
      </c>
      <c r="Q11" s="19">
        <v>1.0</v>
      </c>
      <c r="R11" s="20"/>
      <c r="S11" s="14"/>
      <c r="T11" s="7"/>
      <c r="U11" s="13" t="s">
        <v>12</v>
      </c>
      <c r="V11" s="14"/>
      <c r="W11" s="15">
        <v>5.0</v>
      </c>
      <c r="X11" s="16">
        <f>CEILING((72.5%*(90%*S8)),5)</f>
        <v>0</v>
      </c>
      <c r="Y11" s="17" t="s">
        <v>10</v>
      </c>
      <c r="Z11" s="18">
        <f>CEILING((77.5%*(90%*S8)),5)</f>
        <v>0</v>
      </c>
      <c r="AA11" s="19">
        <v>1.0</v>
      </c>
      <c r="AB11" s="23"/>
      <c r="AC11" s="22"/>
      <c r="AD11" s="7"/>
    </row>
    <row r="12" ht="12.0" customHeight="1">
      <c r="A12" s="24"/>
      <c r="B12" s="22"/>
      <c r="C12" s="25">
        <v>3.0</v>
      </c>
      <c r="D12" s="26">
        <f>CEILING((82.5%*(90%*N8)),5)</f>
        <v>0</v>
      </c>
      <c r="E12" s="27" t="s">
        <v>10</v>
      </c>
      <c r="F12" s="28">
        <f>CEILING((87.5%*(90%*N8)),5)</f>
        <v>0</v>
      </c>
      <c r="G12" s="27">
        <v>1.0</v>
      </c>
      <c r="H12" s="29"/>
      <c r="I12" s="22"/>
      <c r="J12" s="7"/>
      <c r="K12" s="24"/>
      <c r="L12" s="22"/>
      <c r="M12" s="25">
        <v>3.0</v>
      </c>
      <c r="N12" s="26">
        <f>CEILING((82.5%*(90%*Q8)),5)</f>
        <v>0</v>
      </c>
      <c r="O12" s="27" t="s">
        <v>10</v>
      </c>
      <c r="P12" s="28">
        <f>CEILING((87.5%*(90%*Q8)),5)</f>
        <v>0</v>
      </c>
      <c r="Q12" s="27">
        <v>1.0</v>
      </c>
      <c r="R12" s="29"/>
      <c r="S12" s="22"/>
      <c r="T12" s="7"/>
      <c r="U12" s="24" t="s">
        <v>13</v>
      </c>
      <c r="V12" s="22"/>
      <c r="W12" s="25">
        <v>3.0</v>
      </c>
      <c r="X12" s="26">
        <f>CEILING((82.5%*(90%*S8)),5)</f>
        <v>0</v>
      </c>
      <c r="Y12" s="27" t="s">
        <v>10</v>
      </c>
      <c r="Z12" s="28">
        <f>CEILING((87.5%*(90%*S8)),5)</f>
        <v>0</v>
      </c>
      <c r="AA12" s="27">
        <v>1.0</v>
      </c>
      <c r="AB12" s="23"/>
      <c r="AC12" s="22"/>
      <c r="AD12" s="7"/>
    </row>
    <row r="13" ht="12.0" customHeight="1">
      <c r="A13" s="24" t="s">
        <v>14</v>
      </c>
      <c r="B13" s="22"/>
      <c r="C13" s="30" t="s">
        <v>63</v>
      </c>
      <c r="D13" s="26">
        <f>CEILING((92.5%*(90%*N8)),5)</f>
        <v>0</v>
      </c>
      <c r="E13" s="27" t="s">
        <v>10</v>
      </c>
      <c r="F13" s="28">
        <f>CEILING((97.5%*(90%*N8)),5)</f>
        <v>0</v>
      </c>
      <c r="G13" s="54">
        <v>1.0</v>
      </c>
      <c r="H13" s="23" t="s">
        <v>64</v>
      </c>
      <c r="I13" s="22"/>
      <c r="J13" s="7"/>
      <c r="K13" s="24" t="s">
        <v>14</v>
      </c>
      <c r="L13" s="22"/>
      <c r="M13" s="30" t="s">
        <v>63</v>
      </c>
      <c r="N13" s="26">
        <f>CEILING((92.5%*(90%*Q8)),5)</f>
        <v>0</v>
      </c>
      <c r="O13" s="27" t="s">
        <v>10</v>
      </c>
      <c r="P13" s="28">
        <f>CEILING((97.5%*(90%*Q8)),5)</f>
        <v>0</v>
      </c>
      <c r="Q13" s="54">
        <v>1.0</v>
      </c>
      <c r="R13" s="23" t="s">
        <v>64</v>
      </c>
      <c r="S13" s="22"/>
      <c r="T13" s="7"/>
      <c r="U13" s="31" t="s">
        <v>15</v>
      </c>
      <c r="V13" s="22"/>
      <c r="W13" s="30" t="s">
        <v>63</v>
      </c>
      <c r="X13" s="26">
        <f>CEILING((92.5%*(90%*S8)),5)</f>
        <v>0</v>
      </c>
      <c r="Y13" s="27" t="s">
        <v>10</v>
      </c>
      <c r="Z13" s="28">
        <f>CEILING((97.5%*(90%*S8)),5)</f>
        <v>0</v>
      </c>
      <c r="AA13" s="54">
        <v>1.0</v>
      </c>
      <c r="AB13" s="23" t="s">
        <v>64</v>
      </c>
      <c r="AC13" s="22"/>
      <c r="AD13" s="7"/>
    </row>
    <row r="14" ht="12.0" customHeight="1">
      <c r="A14" s="32"/>
      <c r="B14" s="22"/>
      <c r="C14" s="90" t="s">
        <v>65</v>
      </c>
      <c r="D14" s="52"/>
      <c r="E14" s="52"/>
      <c r="F14" s="52"/>
      <c r="G14" s="91"/>
      <c r="H14" s="92" t="s">
        <v>66</v>
      </c>
      <c r="I14" s="22"/>
      <c r="J14" s="7"/>
      <c r="K14" s="24"/>
      <c r="L14" s="22"/>
      <c r="M14" s="90" t="s">
        <v>65</v>
      </c>
      <c r="N14" s="52"/>
      <c r="O14" s="52"/>
      <c r="P14" s="52"/>
      <c r="Q14" s="91"/>
      <c r="R14" s="92" t="s">
        <v>66</v>
      </c>
      <c r="S14" s="22"/>
      <c r="T14" s="7"/>
      <c r="U14" s="24" t="s">
        <v>14</v>
      </c>
      <c r="V14" s="22"/>
      <c r="W14" s="90" t="s">
        <v>65</v>
      </c>
      <c r="X14" s="52"/>
      <c r="Y14" s="52"/>
      <c r="Z14" s="52"/>
      <c r="AA14" s="91"/>
      <c r="AB14" s="92" t="s">
        <v>66</v>
      </c>
      <c r="AC14" s="22"/>
      <c r="AD14" s="7"/>
    </row>
    <row r="15" ht="12.0" customHeight="1">
      <c r="A15" s="35" t="s">
        <v>16</v>
      </c>
      <c r="B15" s="36"/>
      <c r="C15" s="37">
        <v>5.0</v>
      </c>
      <c r="D15" s="38" t="s">
        <v>17</v>
      </c>
      <c r="E15" s="39"/>
      <c r="F15" s="40"/>
      <c r="G15" s="93">
        <v>3.0</v>
      </c>
      <c r="H15" s="42"/>
      <c r="I15" s="36"/>
      <c r="J15" s="7"/>
      <c r="K15" s="35" t="s">
        <v>18</v>
      </c>
      <c r="L15" s="36"/>
      <c r="M15" s="37">
        <v>5.0</v>
      </c>
      <c r="N15" s="43" t="s">
        <v>19</v>
      </c>
      <c r="O15" s="39"/>
      <c r="P15" s="40"/>
      <c r="Q15" s="93">
        <v>3.0</v>
      </c>
      <c r="R15" s="42"/>
      <c r="S15" s="36"/>
      <c r="T15" s="7"/>
      <c r="U15" s="35" t="s">
        <v>20</v>
      </c>
      <c r="V15" s="36"/>
      <c r="W15" s="37">
        <v>5.0</v>
      </c>
      <c r="X15" s="38" t="s">
        <v>17</v>
      </c>
      <c r="Y15" s="39"/>
      <c r="Z15" s="40"/>
      <c r="AA15" s="93">
        <v>3.0</v>
      </c>
      <c r="AB15" s="42"/>
      <c r="AC15" s="36"/>
      <c r="AD15" s="7"/>
    </row>
    <row r="16" ht="12.0" customHeight="1">
      <c r="A16" s="21" t="s">
        <v>21</v>
      </c>
      <c r="B16" s="22"/>
      <c r="C16" s="44">
        <v>8.0</v>
      </c>
      <c r="D16" s="45">
        <f>CEILING((25%*Q8),5)</f>
        <v>0</v>
      </c>
      <c r="E16" s="17" t="s">
        <v>10</v>
      </c>
      <c r="F16" s="46">
        <f>CEILING((28%*Q8),5)</f>
        <v>0</v>
      </c>
      <c r="G16" s="47">
        <v>3.0</v>
      </c>
      <c r="H16" s="48"/>
      <c r="I16" s="14"/>
      <c r="J16" s="7"/>
      <c r="K16" s="13" t="s">
        <v>22</v>
      </c>
      <c r="L16" s="14"/>
      <c r="M16" s="15">
        <v>8.0</v>
      </c>
      <c r="N16" s="16">
        <f>CEILING((55%*N8),5)</f>
        <v>0</v>
      </c>
      <c r="O16" s="17" t="s">
        <v>10</v>
      </c>
      <c r="P16" s="18">
        <f>CEILING((60%*N8),5)</f>
        <v>0</v>
      </c>
      <c r="Q16" s="19">
        <v>3.0</v>
      </c>
      <c r="R16" s="48"/>
      <c r="S16" s="14"/>
      <c r="T16" s="7"/>
      <c r="U16" s="13" t="s">
        <v>23</v>
      </c>
      <c r="V16" s="14"/>
      <c r="W16" s="15">
        <v>8.0</v>
      </c>
      <c r="X16" s="16">
        <f>CEILING((60%*Q8),5)</f>
        <v>0</v>
      </c>
      <c r="Y16" s="17" t="s">
        <v>10</v>
      </c>
      <c r="Z16" s="18">
        <f>CEILING((65%*Q8),5)</f>
        <v>0</v>
      </c>
      <c r="AA16" s="19">
        <v>3.0</v>
      </c>
      <c r="AB16" s="48"/>
      <c r="AC16" s="14"/>
      <c r="AD16" s="7"/>
    </row>
    <row r="17" ht="12.0" customHeight="1">
      <c r="A17" s="24" t="s">
        <v>14</v>
      </c>
      <c r="B17" s="22"/>
      <c r="C17" s="25"/>
      <c r="D17" s="26"/>
      <c r="E17" s="27"/>
      <c r="F17" s="28"/>
      <c r="G17" s="27"/>
      <c r="H17" s="49"/>
      <c r="I17" s="22"/>
      <c r="J17" s="7"/>
      <c r="K17" s="24" t="s">
        <v>14</v>
      </c>
      <c r="L17" s="22"/>
      <c r="M17" s="25"/>
      <c r="N17" s="26"/>
      <c r="O17" s="27"/>
      <c r="P17" s="28"/>
      <c r="Q17" s="27"/>
      <c r="R17" s="23"/>
      <c r="S17" s="22"/>
      <c r="T17" s="7"/>
      <c r="U17" s="24" t="s">
        <v>14</v>
      </c>
      <c r="V17" s="22"/>
      <c r="W17" s="25"/>
      <c r="X17" s="26"/>
      <c r="Y17" s="27"/>
      <c r="Z17" s="28"/>
      <c r="AA17" s="27"/>
      <c r="AB17" s="23"/>
      <c r="AC17" s="22"/>
      <c r="AD17" s="7"/>
    </row>
    <row r="18" ht="12.0" customHeight="1">
      <c r="A18" s="21" t="s">
        <v>24</v>
      </c>
      <c r="B18" s="22"/>
      <c r="C18" s="30">
        <v>8.0</v>
      </c>
      <c r="D18" s="26">
        <f>CEILING((55%*Q8),5)</f>
        <v>0</v>
      </c>
      <c r="E18" s="50" t="s">
        <v>10</v>
      </c>
      <c r="F18" s="28">
        <f>CEILING((60%*Q8),5)</f>
        <v>0</v>
      </c>
      <c r="G18" s="27">
        <v>3.0</v>
      </c>
      <c r="H18" s="29"/>
      <c r="I18" s="22"/>
      <c r="J18" s="7"/>
      <c r="K18" s="21" t="s">
        <v>25</v>
      </c>
      <c r="L18" s="22"/>
      <c r="M18" s="30">
        <v>10.0</v>
      </c>
      <c r="N18" s="51" t="s">
        <v>26</v>
      </c>
      <c r="O18" s="52"/>
      <c r="P18" s="53"/>
      <c r="Q18" s="27">
        <v>3.0</v>
      </c>
      <c r="R18" s="23" t="s">
        <v>27</v>
      </c>
      <c r="S18" s="22"/>
      <c r="T18" s="7"/>
      <c r="U18" s="21" t="s">
        <v>28</v>
      </c>
      <c r="V18" s="22"/>
      <c r="W18" s="30">
        <v>8.0</v>
      </c>
      <c r="X18" s="26">
        <f>CEILING((41%*Q8),5)</f>
        <v>0</v>
      </c>
      <c r="Y18" s="50" t="s">
        <v>10</v>
      </c>
      <c r="Z18" s="28">
        <f>CEILING((45%*Q8),5)</f>
        <v>0</v>
      </c>
      <c r="AA18" s="27">
        <v>3.0</v>
      </c>
      <c r="AB18" s="23"/>
      <c r="AC18" s="22"/>
      <c r="AD18" s="7"/>
    </row>
    <row r="19" ht="12.0" customHeight="1">
      <c r="A19" s="24" t="s">
        <v>14</v>
      </c>
      <c r="B19" s="22"/>
      <c r="C19" s="33"/>
      <c r="D19" s="26"/>
      <c r="E19" s="27"/>
      <c r="F19" s="28"/>
      <c r="G19" s="54"/>
      <c r="H19" s="29"/>
      <c r="I19" s="22"/>
      <c r="J19" s="7"/>
      <c r="K19" s="24" t="s">
        <v>14</v>
      </c>
      <c r="L19" s="22"/>
      <c r="M19" s="33"/>
      <c r="N19" s="26"/>
      <c r="O19" s="27"/>
      <c r="P19" s="28"/>
      <c r="Q19" s="34"/>
      <c r="R19" s="23"/>
      <c r="S19" s="22"/>
      <c r="T19" s="7"/>
      <c r="U19" s="24" t="s">
        <v>14</v>
      </c>
      <c r="V19" s="22"/>
      <c r="W19" s="33"/>
      <c r="X19" s="26"/>
      <c r="Y19" s="27"/>
      <c r="Z19" s="28"/>
      <c r="AA19" s="34"/>
      <c r="AB19" s="23"/>
      <c r="AC19" s="22"/>
      <c r="AD19" s="7"/>
    </row>
    <row r="20" ht="12.0" customHeight="1">
      <c r="A20" s="35" t="s">
        <v>29</v>
      </c>
      <c r="B20" s="36"/>
      <c r="C20" s="37">
        <v>10.0</v>
      </c>
      <c r="D20" s="38" t="s">
        <v>17</v>
      </c>
      <c r="E20" s="39"/>
      <c r="F20" s="40"/>
      <c r="G20" s="41">
        <v>3.0</v>
      </c>
      <c r="H20" s="42"/>
      <c r="I20" s="36"/>
      <c r="J20" s="7"/>
      <c r="K20" s="35" t="s">
        <v>30</v>
      </c>
      <c r="L20" s="36"/>
      <c r="M20" s="30">
        <v>8.0</v>
      </c>
      <c r="N20" s="26">
        <f>CEILING((9%*Q8),5)</f>
        <v>0</v>
      </c>
      <c r="O20" s="27" t="s">
        <v>10</v>
      </c>
      <c r="P20" s="28">
        <f>CEILING((10%*Q8),5)</f>
        <v>0</v>
      </c>
      <c r="Q20" s="27">
        <v>3.0</v>
      </c>
      <c r="R20" s="23"/>
      <c r="S20" s="22"/>
      <c r="T20" s="7"/>
      <c r="U20" s="21" t="s">
        <v>31</v>
      </c>
      <c r="V20" s="22"/>
      <c r="W20" s="37">
        <v>15.0</v>
      </c>
      <c r="X20" s="38" t="s">
        <v>26</v>
      </c>
      <c r="Y20" s="39"/>
      <c r="Z20" s="40"/>
      <c r="AA20" s="41">
        <v>3.0</v>
      </c>
      <c r="AB20" s="42"/>
      <c r="AC20" s="36"/>
      <c r="AD20" s="7"/>
    </row>
    <row r="21" ht="12.0" customHeight="1">
      <c r="A21" s="13" t="s">
        <v>32</v>
      </c>
      <c r="B21" s="14"/>
      <c r="C21" s="44">
        <v>8.0</v>
      </c>
      <c r="D21" s="45">
        <f>CEILING((35%*N8),5)</f>
        <v>0</v>
      </c>
      <c r="E21" s="17" t="s">
        <v>10</v>
      </c>
      <c r="F21" s="46">
        <f>CEILING((40%*N8),5)</f>
        <v>0</v>
      </c>
      <c r="G21" s="47">
        <v>3.0</v>
      </c>
      <c r="H21" s="48"/>
      <c r="I21" s="14"/>
      <c r="J21" s="7"/>
      <c r="K21" s="55" t="s">
        <v>33</v>
      </c>
      <c r="L21" s="56"/>
      <c r="M21" s="44">
        <v>8.0</v>
      </c>
      <c r="N21" s="45">
        <f>CEILING((22.5%*Q8),5)</f>
        <v>0</v>
      </c>
      <c r="O21" s="47" t="s">
        <v>10</v>
      </c>
      <c r="P21" s="46">
        <f>CEILING((25%*Q8),5)</f>
        <v>0</v>
      </c>
      <c r="Q21" s="47">
        <v>3.0</v>
      </c>
      <c r="R21" s="48"/>
      <c r="S21" s="14"/>
      <c r="T21" s="7"/>
      <c r="U21" s="13" t="s">
        <v>34</v>
      </c>
      <c r="V21" s="14"/>
      <c r="W21" s="15">
        <v>8.0</v>
      </c>
      <c r="X21" s="16">
        <f>CEILING((30%*N8),5)</f>
        <v>0</v>
      </c>
      <c r="Y21" s="19" t="s">
        <v>10</v>
      </c>
      <c r="Z21" s="18">
        <f>CEILING((33%*N8),5)</f>
        <v>0</v>
      </c>
      <c r="AA21" s="19">
        <v>3.0</v>
      </c>
      <c r="AB21" s="48"/>
      <c r="AC21" s="14"/>
      <c r="AD21" s="7"/>
    </row>
    <row r="22" ht="12.0" customHeight="1">
      <c r="A22" s="24" t="s">
        <v>14</v>
      </c>
      <c r="B22" s="22"/>
      <c r="C22" s="25"/>
      <c r="D22" s="26"/>
      <c r="E22" s="27"/>
      <c r="F22" s="28"/>
      <c r="G22" s="27"/>
      <c r="H22" s="49"/>
      <c r="I22" s="22"/>
      <c r="J22" s="7"/>
      <c r="K22" s="24" t="s">
        <v>14</v>
      </c>
      <c r="L22" s="22"/>
      <c r="M22" s="25"/>
      <c r="N22" s="26"/>
      <c r="O22" s="27"/>
      <c r="P22" s="28"/>
      <c r="Q22" s="27"/>
      <c r="R22" s="23"/>
      <c r="S22" s="22"/>
      <c r="T22" s="7"/>
      <c r="U22" s="24" t="s">
        <v>14</v>
      </c>
      <c r="V22" s="22"/>
      <c r="W22" s="25"/>
      <c r="X22" s="26"/>
      <c r="Y22" s="27"/>
      <c r="Z22" s="28"/>
      <c r="AA22" s="27"/>
      <c r="AB22" s="23"/>
      <c r="AC22" s="22"/>
      <c r="AD22" s="7"/>
    </row>
    <row r="23" ht="12.0" customHeight="1">
      <c r="A23" s="21" t="s">
        <v>35</v>
      </c>
      <c r="B23" s="22"/>
      <c r="C23" s="30">
        <v>8.0</v>
      </c>
      <c r="D23" s="26">
        <f>CEILING((17.5%*N8),5)</f>
        <v>0</v>
      </c>
      <c r="E23" s="27" t="s">
        <v>10</v>
      </c>
      <c r="F23" s="28">
        <f>CEILING((22.5%*N8),5)</f>
        <v>0</v>
      </c>
      <c r="G23" s="27">
        <v>3.0</v>
      </c>
      <c r="H23" s="29"/>
      <c r="I23" s="22"/>
      <c r="J23" s="7"/>
      <c r="K23" s="21" t="s">
        <v>36</v>
      </c>
      <c r="L23" s="22"/>
      <c r="M23" s="30">
        <v>8.0</v>
      </c>
      <c r="N23" s="26">
        <f>CEILING((19%*Q8),5)</f>
        <v>0</v>
      </c>
      <c r="O23" s="27" t="s">
        <v>10</v>
      </c>
      <c r="P23" s="28">
        <f>CEILING((22%*Q8),5)</f>
        <v>0</v>
      </c>
      <c r="Q23" s="27">
        <v>3.0</v>
      </c>
      <c r="R23" s="23"/>
      <c r="S23" s="22"/>
      <c r="T23" s="7"/>
      <c r="U23" s="21" t="s">
        <v>37</v>
      </c>
      <c r="V23" s="22"/>
      <c r="W23" s="30">
        <v>8.0</v>
      </c>
      <c r="X23" s="26">
        <f>CEILING((18%*N8),5)</f>
        <v>0</v>
      </c>
      <c r="Y23" s="27" t="s">
        <v>10</v>
      </c>
      <c r="Z23" s="28">
        <f>CEILING((21%*N8),5)</f>
        <v>0</v>
      </c>
      <c r="AA23" s="27">
        <v>3.0</v>
      </c>
      <c r="AB23" s="23"/>
      <c r="AC23" s="22"/>
      <c r="AD23" s="7"/>
    </row>
    <row r="24" ht="12.0" customHeight="1">
      <c r="A24" s="24" t="s">
        <v>14</v>
      </c>
      <c r="B24" s="22"/>
      <c r="C24" s="33"/>
      <c r="D24" s="26"/>
      <c r="E24" s="27"/>
      <c r="F24" s="28"/>
      <c r="G24" s="34"/>
      <c r="H24" s="29"/>
      <c r="I24" s="22"/>
      <c r="J24" s="7"/>
      <c r="K24" s="24" t="s">
        <v>14</v>
      </c>
      <c r="L24" s="22"/>
      <c r="M24" s="33"/>
      <c r="N24" s="26"/>
      <c r="O24" s="27"/>
      <c r="P24" s="28"/>
      <c r="Q24" s="34"/>
      <c r="R24" s="23"/>
      <c r="S24" s="22"/>
      <c r="T24" s="7"/>
      <c r="U24" s="24" t="s">
        <v>14</v>
      </c>
      <c r="V24" s="22"/>
      <c r="W24" s="33"/>
      <c r="X24" s="26"/>
      <c r="Y24" s="27"/>
      <c r="Z24" s="28"/>
      <c r="AA24" s="34"/>
      <c r="AB24" s="23"/>
      <c r="AC24" s="22"/>
      <c r="AD24" s="7"/>
    </row>
    <row r="25" ht="12.0" customHeight="1">
      <c r="A25" s="35" t="s">
        <v>38</v>
      </c>
      <c r="B25" s="36"/>
      <c r="C25" s="37">
        <v>15.0</v>
      </c>
      <c r="D25" s="38" t="s">
        <v>39</v>
      </c>
      <c r="E25" s="39"/>
      <c r="F25" s="40"/>
      <c r="G25" s="41">
        <v>3.0</v>
      </c>
      <c r="H25" s="42"/>
      <c r="I25" s="36"/>
      <c r="J25" s="7"/>
      <c r="K25" s="35" t="s">
        <v>40</v>
      </c>
      <c r="L25" s="36"/>
      <c r="M25" s="37" t="s">
        <v>41</v>
      </c>
      <c r="N25" s="38" t="s">
        <v>17</v>
      </c>
      <c r="O25" s="39"/>
      <c r="P25" s="40"/>
      <c r="Q25" s="41">
        <v>3.0</v>
      </c>
      <c r="R25" s="42"/>
      <c r="S25" s="36"/>
      <c r="T25" s="7"/>
      <c r="U25" s="21" t="s">
        <v>42</v>
      </c>
      <c r="V25" s="22"/>
      <c r="W25" s="37">
        <v>12.0</v>
      </c>
      <c r="X25" s="38" t="s">
        <v>17</v>
      </c>
      <c r="Y25" s="39"/>
      <c r="Z25" s="40"/>
      <c r="AA25" s="41">
        <v>3.0</v>
      </c>
      <c r="AB25" s="42"/>
      <c r="AC25" s="36"/>
      <c r="AD25" s="7"/>
    </row>
    <row r="26" ht="12.0" customHeight="1">
      <c r="A26" s="55" t="s">
        <v>43</v>
      </c>
      <c r="B26" s="56"/>
      <c r="C26" s="15">
        <v>8.0</v>
      </c>
      <c r="D26" s="16">
        <f>CEILING((25%*Q8),5)</f>
        <v>0</v>
      </c>
      <c r="E26" s="19" t="s">
        <v>10</v>
      </c>
      <c r="F26" s="18">
        <f>CEILING((27.5%*Q8),5)</f>
        <v>0</v>
      </c>
      <c r="G26" s="19">
        <v>3.0</v>
      </c>
      <c r="H26" s="57"/>
      <c r="I26" s="14"/>
      <c r="J26" s="7"/>
      <c r="K26" s="21" t="s">
        <v>44</v>
      </c>
      <c r="L26" s="22"/>
      <c r="M26" s="15">
        <v>8.0</v>
      </c>
      <c r="N26" s="58" t="s">
        <v>17</v>
      </c>
      <c r="O26" s="59"/>
      <c r="P26" s="60"/>
      <c r="Q26" s="19">
        <v>3.0</v>
      </c>
      <c r="R26" s="48"/>
      <c r="S26" s="14"/>
      <c r="T26" s="7"/>
      <c r="U26" s="13" t="s">
        <v>45</v>
      </c>
      <c r="V26" s="14"/>
      <c r="W26" s="15">
        <v>8.0</v>
      </c>
      <c r="X26" s="16">
        <f>CEILING((49%*Q8),5)</f>
        <v>0</v>
      </c>
      <c r="Y26" s="17" t="s">
        <v>10</v>
      </c>
      <c r="Z26" s="18">
        <f>CEILING((52%*Q8),5)</f>
        <v>0</v>
      </c>
      <c r="AA26" s="19">
        <v>3.0</v>
      </c>
      <c r="AB26" s="48"/>
      <c r="AC26" s="14"/>
      <c r="AD26" s="7"/>
    </row>
    <row r="27" ht="12.0" customHeight="1">
      <c r="A27" s="24" t="s">
        <v>14</v>
      </c>
      <c r="B27" s="22"/>
      <c r="C27" s="25"/>
      <c r="D27" s="26"/>
      <c r="E27" s="27"/>
      <c r="F27" s="28"/>
      <c r="G27" s="27"/>
      <c r="H27" s="61"/>
      <c r="I27" s="22"/>
      <c r="J27" s="7"/>
      <c r="K27" s="24" t="s">
        <v>14</v>
      </c>
      <c r="L27" s="22"/>
      <c r="M27" s="25"/>
      <c r="N27" s="62"/>
      <c r="O27" s="63"/>
      <c r="P27" s="64"/>
      <c r="Q27" s="27"/>
      <c r="R27" s="23"/>
      <c r="S27" s="22"/>
      <c r="T27" s="7"/>
      <c r="U27" s="24" t="s">
        <v>14</v>
      </c>
      <c r="V27" s="22"/>
      <c r="W27" s="25"/>
      <c r="X27" s="26"/>
      <c r="Y27" s="27"/>
      <c r="Z27" s="28"/>
      <c r="AA27" s="27"/>
      <c r="AB27" s="23"/>
      <c r="AC27" s="22"/>
      <c r="AD27" s="7"/>
    </row>
    <row r="28" ht="12.0" customHeight="1">
      <c r="A28" s="21" t="s">
        <v>46</v>
      </c>
      <c r="B28" s="22"/>
      <c r="C28" s="30">
        <v>8.0</v>
      </c>
      <c r="D28" s="51" t="s">
        <v>47</v>
      </c>
      <c r="E28" s="52"/>
      <c r="F28" s="53"/>
      <c r="G28" s="27">
        <v>3.0</v>
      </c>
      <c r="H28" s="23"/>
      <c r="I28" s="22"/>
      <c r="J28" s="7"/>
      <c r="K28" s="21" t="s">
        <v>48</v>
      </c>
      <c r="L28" s="22"/>
      <c r="M28" s="30">
        <v>10.0</v>
      </c>
      <c r="N28" s="26">
        <f>CEILING((11%*Q8),5)</f>
        <v>0</v>
      </c>
      <c r="O28" s="27" t="s">
        <v>10</v>
      </c>
      <c r="P28" s="28">
        <f>CEILING((13%*Q8),5)</f>
        <v>0</v>
      </c>
      <c r="Q28" s="27">
        <v>3.0</v>
      </c>
      <c r="R28" s="23"/>
      <c r="S28" s="22"/>
      <c r="T28" s="7"/>
      <c r="U28" s="21" t="s">
        <v>49</v>
      </c>
      <c r="V28" s="22"/>
      <c r="W28" s="30">
        <v>8.0</v>
      </c>
      <c r="X28" s="51" t="s">
        <v>47</v>
      </c>
      <c r="Y28" s="52"/>
      <c r="Z28" s="53"/>
      <c r="AA28" s="27">
        <v>3.0</v>
      </c>
      <c r="AB28" s="23"/>
      <c r="AC28" s="22"/>
      <c r="AD28" s="7"/>
    </row>
    <row r="29" ht="12.0" customHeight="1">
      <c r="A29" s="24" t="s">
        <v>14</v>
      </c>
      <c r="B29" s="22"/>
      <c r="C29" s="33"/>
      <c r="D29" s="26"/>
      <c r="E29" s="27"/>
      <c r="F29" s="28"/>
      <c r="G29" s="34"/>
      <c r="H29" s="23"/>
      <c r="I29" s="22"/>
      <c r="J29" s="7"/>
      <c r="K29" s="24" t="s">
        <v>14</v>
      </c>
      <c r="L29" s="22"/>
      <c r="M29" s="65"/>
      <c r="N29" s="62"/>
      <c r="O29" s="63"/>
      <c r="P29" s="64"/>
      <c r="Q29" s="66"/>
      <c r="R29" s="67"/>
      <c r="S29" s="56"/>
      <c r="T29" s="7"/>
      <c r="U29" s="24" t="s">
        <v>14</v>
      </c>
      <c r="V29" s="22"/>
      <c r="W29" s="33"/>
      <c r="X29" s="26"/>
      <c r="Y29" s="27"/>
      <c r="Z29" s="28"/>
      <c r="AA29" s="34"/>
      <c r="AB29" s="23"/>
      <c r="AC29" s="22"/>
      <c r="AD29" s="7"/>
    </row>
    <row r="30" ht="12.0" customHeight="1">
      <c r="A30" s="21" t="s">
        <v>50</v>
      </c>
      <c r="B30" s="22"/>
      <c r="C30" s="37">
        <v>8.0</v>
      </c>
      <c r="D30" s="68">
        <f>CEILING((14.5%*Q8),5)</f>
        <v>0</v>
      </c>
      <c r="E30" s="41" t="s">
        <v>10</v>
      </c>
      <c r="F30" s="69">
        <f>CEILING((17.5%*Q8),5)</f>
        <v>0</v>
      </c>
      <c r="G30" s="41">
        <v>3.0</v>
      </c>
      <c r="H30" s="70"/>
      <c r="I30" s="36"/>
      <c r="J30" s="7"/>
      <c r="K30" s="35" t="s">
        <v>51</v>
      </c>
      <c r="L30" s="36"/>
      <c r="M30" s="37">
        <v>12.0</v>
      </c>
      <c r="N30" s="38" t="s">
        <v>17</v>
      </c>
      <c r="O30" s="39"/>
      <c r="P30" s="40"/>
      <c r="Q30" s="41">
        <v>3.0</v>
      </c>
      <c r="R30" s="42"/>
      <c r="S30" s="36"/>
      <c r="T30" s="7"/>
      <c r="U30" s="21" t="s">
        <v>50</v>
      </c>
      <c r="V30" s="22"/>
      <c r="W30" s="37">
        <v>8.0</v>
      </c>
      <c r="X30" s="68">
        <f>CEILING((14.5%*Q8),5)</f>
        <v>0</v>
      </c>
      <c r="Y30" s="41" t="s">
        <v>10</v>
      </c>
      <c r="Z30" s="69">
        <f>CEILING((17.5%*Q8),5)</f>
        <v>0</v>
      </c>
      <c r="AA30" s="41">
        <v>3.0</v>
      </c>
      <c r="AB30" s="42"/>
      <c r="AC30" s="36"/>
      <c r="AD30" s="7"/>
    </row>
    <row r="31" ht="12.0" customHeight="1">
      <c r="A31" s="13"/>
      <c r="B31" s="14"/>
      <c r="C31" s="15"/>
      <c r="D31" s="16"/>
      <c r="E31" s="19"/>
      <c r="F31" s="18"/>
      <c r="G31" s="19"/>
      <c r="H31" s="57"/>
      <c r="I31" s="14"/>
      <c r="J31" s="7"/>
      <c r="K31" s="71"/>
      <c r="L31" s="14"/>
      <c r="M31" s="15"/>
      <c r="N31" s="16"/>
      <c r="O31" s="19"/>
      <c r="P31" s="18"/>
      <c r="Q31" s="19"/>
      <c r="R31" s="48"/>
      <c r="S31" s="14"/>
      <c r="T31" s="7"/>
      <c r="U31" s="72" t="s">
        <v>52</v>
      </c>
      <c r="V31" s="59"/>
      <c r="W31" s="25"/>
      <c r="X31" s="75"/>
      <c r="Y31" s="27"/>
      <c r="Z31" s="28"/>
      <c r="AA31" s="27"/>
      <c r="AB31" s="48"/>
      <c r="AC31" s="14"/>
      <c r="AD31" s="7"/>
    </row>
    <row r="32" ht="12.0" customHeight="1">
      <c r="A32" s="21"/>
      <c r="B32" s="22"/>
      <c r="C32" s="25"/>
      <c r="D32" s="26"/>
      <c r="E32" s="27"/>
      <c r="F32" s="28"/>
      <c r="G32" s="27"/>
      <c r="H32" s="23"/>
      <c r="I32" s="22"/>
      <c r="J32" s="7"/>
      <c r="K32" s="24"/>
      <c r="L32" s="22"/>
      <c r="M32" s="33"/>
      <c r="N32" s="26"/>
      <c r="O32" s="27"/>
      <c r="P32" s="28"/>
      <c r="Q32" s="34"/>
      <c r="R32" s="23"/>
      <c r="S32" s="22"/>
      <c r="T32" s="7"/>
      <c r="U32" s="21" t="s">
        <v>53</v>
      </c>
      <c r="V32" s="22"/>
      <c r="W32" s="25">
        <v>5.0</v>
      </c>
      <c r="X32" s="75">
        <f>CEILING((72.5%*(90%*(N8*45%))),5)</f>
        <v>0</v>
      </c>
      <c r="Y32" s="27" t="s">
        <v>10</v>
      </c>
      <c r="Z32" s="28">
        <f>CEILING((77.5%*(90%*(N8*45%))),5)</f>
        <v>0</v>
      </c>
      <c r="AA32" s="27">
        <v>1.0</v>
      </c>
      <c r="AB32" s="23"/>
      <c r="AC32" s="22"/>
      <c r="AD32" s="7"/>
    </row>
    <row r="33" ht="12.0" customHeight="1">
      <c r="A33" s="21"/>
      <c r="B33" s="22"/>
      <c r="C33" s="30"/>
      <c r="D33" s="26"/>
      <c r="E33" s="27"/>
      <c r="F33" s="28"/>
      <c r="G33" s="27"/>
      <c r="H33" s="23"/>
      <c r="I33" s="22"/>
      <c r="J33" s="7"/>
      <c r="K33" s="24"/>
      <c r="L33" s="22"/>
      <c r="M33" s="33"/>
      <c r="N33" s="26"/>
      <c r="O33" s="27"/>
      <c r="P33" s="28"/>
      <c r="Q33" s="34"/>
      <c r="R33" s="23"/>
      <c r="S33" s="22"/>
      <c r="T33" s="7"/>
      <c r="U33" s="76"/>
      <c r="V33" s="22"/>
      <c r="W33" s="30">
        <v>3.0</v>
      </c>
      <c r="X33" s="26">
        <f>CEILING((82.5%*(90%*(N8*45%))),5)</f>
        <v>0</v>
      </c>
      <c r="Y33" s="27" t="s">
        <v>10</v>
      </c>
      <c r="Z33" s="28">
        <f>CEILING((87.5%*(90%*(N8*45%))),5)</f>
        <v>0</v>
      </c>
      <c r="AA33" s="27">
        <v>1.0</v>
      </c>
      <c r="AB33" s="23"/>
      <c r="AC33" s="22"/>
      <c r="AD33" s="7"/>
    </row>
    <row r="34" ht="12.0" customHeight="1">
      <c r="A34" s="24"/>
      <c r="B34" s="22"/>
      <c r="C34" s="33"/>
      <c r="D34" s="26"/>
      <c r="E34" s="27"/>
      <c r="F34" s="28"/>
      <c r="G34" s="34"/>
      <c r="H34" s="23"/>
      <c r="I34" s="22"/>
      <c r="J34" s="7"/>
      <c r="K34" s="24"/>
      <c r="L34" s="22"/>
      <c r="M34" s="33"/>
      <c r="N34" s="26"/>
      <c r="O34" s="27"/>
      <c r="P34" s="28"/>
      <c r="Q34" s="34"/>
      <c r="R34" s="23"/>
      <c r="S34" s="22"/>
      <c r="T34" s="7"/>
      <c r="U34" s="24"/>
      <c r="V34" s="22"/>
      <c r="W34" s="33" t="s">
        <v>63</v>
      </c>
      <c r="X34" s="26">
        <f>CEILING((92.5%*(90%*(N8*45%))),5)</f>
        <v>0</v>
      </c>
      <c r="Y34" s="27" t="s">
        <v>10</v>
      </c>
      <c r="Z34" s="28">
        <f>CEILING((97.5%*(90%*(N8*45%))),5)</f>
        <v>0</v>
      </c>
      <c r="AA34" s="54">
        <v>1.0</v>
      </c>
      <c r="AB34" s="23" t="s">
        <v>64</v>
      </c>
      <c r="AC34" s="22"/>
      <c r="AD34" s="7"/>
    </row>
    <row r="35" ht="12.0" customHeight="1">
      <c r="A35" s="35"/>
      <c r="B35" s="36"/>
      <c r="C35" s="37"/>
      <c r="D35" s="68"/>
      <c r="E35" s="41"/>
      <c r="F35" s="69"/>
      <c r="G35" s="41"/>
      <c r="H35" s="42"/>
      <c r="I35" s="36"/>
      <c r="J35" s="7"/>
      <c r="K35" s="35"/>
      <c r="L35" s="36"/>
      <c r="M35" s="37"/>
      <c r="N35" s="68"/>
      <c r="O35" s="41"/>
      <c r="P35" s="69"/>
      <c r="Q35" s="41"/>
      <c r="R35" s="42"/>
      <c r="S35" s="36"/>
      <c r="T35" s="7"/>
      <c r="U35" s="35"/>
      <c r="V35" s="36"/>
      <c r="W35" s="90" t="s">
        <v>65</v>
      </c>
      <c r="X35" s="52"/>
      <c r="Y35" s="52"/>
      <c r="Z35" s="52"/>
      <c r="AA35" s="91"/>
      <c r="AB35" s="92" t="s">
        <v>66</v>
      </c>
      <c r="AC35" s="22"/>
      <c r="AD35" s="7"/>
    </row>
    <row r="36" ht="12.0" customHeight="1">
      <c r="A36" s="77" t="s">
        <v>54</v>
      </c>
      <c r="B36" s="14"/>
      <c r="C36" s="15"/>
      <c r="D36" s="16"/>
      <c r="E36" s="19"/>
      <c r="F36" s="18"/>
      <c r="G36" s="19"/>
      <c r="H36" s="57"/>
      <c r="I36" s="14"/>
      <c r="J36" s="7"/>
      <c r="K36" s="77" t="s">
        <v>54</v>
      </c>
      <c r="L36" s="14"/>
      <c r="M36" s="15"/>
      <c r="N36" s="16"/>
      <c r="O36" s="19"/>
      <c r="P36" s="18"/>
      <c r="Q36" s="19"/>
      <c r="R36" s="57"/>
      <c r="S36" s="14"/>
      <c r="T36" s="7"/>
      <c r="U36" s="77" t="s">
        <v>54</v>
      </c>
      <c r="V36" s="14"/>
      <c r="W36" s="15"/>
      <c r="X36" s="16"/>
      <c r="Y36" s="19"/>
      <c r="Z36" s="18"/>
      <c r="AA36" s="19"/>
      <c r="AB36" s="57"/>
      <c r="AC36" s="14"/>
      <c r="AD36" s="7"/>
    </row>
    <row r="37" ht="15.0" customHeight="1">
      <c r="A37" s="21" t="s">
        <v>55</v>
      </c>
      <c r="B37" s="22"/>
      <c r="C37" s="25" t="s">
        <v>56</v>
      </c>
      <c r="D37" s="26"/>
      <c r="E37" s="27"/>
      <c r="F37" s="28"/>
      <c r="G37" s="27">
        <v>1.0</v>
      </c>
      <c r="H37" s="23"/>
      <c r="I37" s="22"/>
      <c r="J37" s="7"/>
      <c r="K37" s="21" t="s">
        <v>57</v>
      </c>
      <c r="L37" s="22"/>
      <c r="M37" s="25" t="s">
        <v>56</v>
      </c>
      <c r="N37" s="26"/>
      <c r="O37" s="27"/>
      <c r="P37" s="28"/>
      <c r="Q37" s="27">
        <v>2.0</v>
      </c>
      <c r="R37" s="23"/>
      <c r="S37" s="22"/>
      <c r="T37" s="7"/>
      <c r="U37" s="21" t="s">
        <v>55</v>
      </c>
      <c r="V37" s="22"/>
      <c r="W37" s="25" t="s">
        <v>56</v>
      </c>
      <c r="X37" s="26"/>
      <c r="Y37" s="27"/>
      <c r="Z37" s="28"/>
      <c r="AA37" s="27">
        <v>1.0</v>
      </c>
      <c r="AB37" s="23"/>
      <c r="AC37" s="22"/>
      <c r="AD37" s="7"/>
    </row>
    <row r="38" ht="12.0" customHeight="1">
      <c r="A38" s="21"/>
      <c r="B38" s="22"/>
      <c r="C38" s="30"/>
      <c r="D38" s="26"/>
      <c r="E38" s="27"/>
      <c r="F38" s="28"/>
      <c r="G38" s="27"/>
      <c r="H38" s="23"/>
      <c r="I38" s="22"/>
      <c r="J38" s="7"/>
      <c r="K38" s="21"/>
      <c r="L38" s="22"/>
      <c r="M38" s="30"/>
      <c r="N38" s="26"/>
      <c r="O38" s="27"/>
      <c r="P38" s="28"/>
      <c r="Q38" s="27"/>
      <c r="R38" s="23"/>
      <c r="S38" s="22"/>
      <c r="T38" s="7"/>
      <c r="U38" s="21"/>
      <c r="V38" s="22"/>
      <c r="W38" s="30"/>
      <c r="X38" s="26"/>
      <c r="Y38" s="27"/>
      <c r="Z38" s="28"/>
      <c r="AA38" s="27"/>
      <c r="AB38" s="23"/>
      <c r="AC38" s="22"/>
      <c r="AD38" s="7"/>
    </row>
    <row r="39" ht="15.0" customHeight="1">
      <c r="A39" s="21" t="s">
        <v>58</v>
      </c>
      <c r="B39" s="22"/>
      <c r="C39" s="33" t="s">
        <v>56</v>
      </c>
      <c r="D39" s="26"/>
      <c r="E39" s="27"/>
      <c r="F39" s="28"/>
      <c r="G39" s="34">
        <v>2.0</v>
      </c>
      <c r="H39" s="23"/>
      <c r="I39" s="22"/>
      <c r="J39" s="7"/>
      <c r="K39" s="21" t="s">
        <v>58</v>
      </c>
      <c r="L39" s="22"/>
      <c r="M39" s="33" t="s">
        <v>56</v>
      </c>
      <c r="N39" s="26"/>
      <c r="O39" s="27"/>
      <c r="P39" s="28"/>
      <c r="Q39" s="34">
        <v>2.0</v>
      </c>
      <c r="R39" s="23"/>
      <c r="S39" s="22"/>
      <c r="T39" s="7"/>
      <c r="U39" s="21" t="s">
        <v>59</v>
      </c>
      <c r="V39" s="22"/>
      <c r="W39" s="33" t="s">
        <v>56</v>
      </c>
      <c r="X39" s="26"/>
      <c r="Y39" s="27"/>
      <c r="Z39" s="28"/>
      <c r="AA39" s="34">
        <v>2.0</v>
      </c>
      <c r="AB39" s="23"/>
      <c r="AC39" s="22"/>
      <c r="AD39" s="7"/>
    </row>
    <row r="40" ht="12.0" customHeight="1">
      <c r="A40" s="35"/>
      <c r="B40" s="36"/>
      <c r="C40" s="37"/>
      <c r="D40" s="68"/>
      <c r="E40" s="41"/>
      <c r="F40" s="69"/>
      <c r="G40" s="41"/>
      <c r="H40" s="42"/>
      <c r="I40" s="36"/>
      <c r="J40" s="7"/>
      <c r="K40" s="35"/>
      <c r="L40" s="36"/>
      <c r="M40" s="37"/>
      <c r="N40" s="68"/>
      <c r="O40" s="41"/>
      <c r="P40" s="69"/>
      <c r="Q40" s="41"/>
      <c r="R40" s="42"/>
      <c r="S40" s="36"/>
      <c r="T40" s="7"/>
      <c r="U40" s="35"/>
      <c r="V40" s="36"/>
      <c r="W40" s="37"/>
      <c r="X40" s="68"/>
      <c r="Y40" s="41"/>
      <c r="Z40" s="69"/>
      <c r="AA40" s="41"/>
      <c r="AB40" s="42"/>
      <c r="AC40" s="36"/>
      <c r="AD40" s="7"/>
    </row>
    <row r="41" ht="12.0" customHeight="1">
      <c r="A41" s="71"/>
      <c r="B41" s="14"/>
      <c r="C41" s="15"/>
      <c r="D41" s="16"/>
      <c r="E41" s="19"/>
      <c r="F41" s="18"/>
      <c r="G41" s="19"/>
      <c r="H41" s="48"/>
      <c r="I41" s="14"/>
      <c r="J41" s="7"/>
      <c r="K41" s="71"/>
      <c r="L41" s="14"/>
      <c r="M41" s="15"/>
      <c r="N41" s="16"/>
      <c r="O41" s="19"/>
      <c r="P41" s="18"/>
      <c r="Q41" s="19"/>
      <c r="R41" s="48"/>
      <c r="S41" s="14"/>
      <c r="T41" s="7"/>
      <c r="U41" s="71"/>
      <c r="V41" s="14"/>
      <c r="W41" s="15"/>
      <c r="X41" s="16"/>
      <c r="Y41" s="19"/>
      <c r="Z41" s="18"/>
      <c r="AA41" s="19"/>
      <c r="AB41" s="48"/>
      <c r="AC41" s="14"/>
      <c r="AD41" s="7"/>
    </row>
    <row r="42" ht="15.0" customHeight="1">
      <c r="A42" s="94" t="s">
        <v>67</v>
      </c>
      <c r="B42" s="52"/>
      <c r="C42" s="52"/>
      <c r="D42" s="52"/>
      <c r="E42" s="52"/>
      <c r="F42" s="52"/>
      <c r="G42" s="52"/>
      <c r="H42" s="52"/>
      <c r="I42" s="22"/>
      <c r="J42" s="7"/>
      <c r="K42" s="24"/>
      <c r="L42" s="22"/>
      <c r="M42" s="30"/>
      <c r="N42" s="26"/>
      <c r="O42" s="27"/>
      <c r="P42" s="28"/>
      <c r="Q42" s="27"/>
      <c r="R42" s="23"/>
      <c r="S42" s="22"/>
      <c r="T42" s="7"/>
      <c r="U42" s="24"/>
      <c r="V42" s="22"/>
      <c r="W42" s="30"/>
      <c r="X42" s="26"/>
      <c r="Y42" s="27"/>
      <c r="Z42" s="28"/>
      <c r="AA42" s="27"/>
      <c r="AB42" s="23"/>
      <c r="AC42" s="22"/>
      <c r="AD42" s="7"/>
    </row>
    <row r="43" ht="12.0" customHeight="1">
      <c r="A43" s="95" t="s">
        <v>68</v>
      </c>
      <c r="B43" s="52"/>
      <c r="C43" s="52"/>
      <c r="D43" s="52"/>
      <c r="E43" s="52"/>
      <c r="F43" s="52"/>
      <c r="G43" s="52"/>
      <c r="H43" s="52"/>
      <c r="I43" s="22"/>
      <c r="J43" s="7"/>
      <c r="K43" s="76"/>
      <c r="L43" s="22"/>
      <c r="M43" s="30"/>
      <c r="N43" s="26"/>
      <c r="O43" s="27"/>
      <c r="P43" s="28"/>
      <c r="Q43" s="27"/>
      <c r="R43" s="23"/>
      <c r="S43" s="22"/>
      <c r="T43" s="7"/>
      <c r="U43" s="76"/>
      <c r="V43" s="22"/>
      <c r="W43" s="30"/>
      <c r="X43" s="26"/>
      <c r="Y43" s="27"/>
      <c r="Z43" s="28"/>
      <c r="AA43" s="27"/>
      <c r="AB43" s="23"/>
      <c r="AC43" s="22"/>
      <c r="AD43" s="7"/>
    </row>
    <row r="44" ht="12.0" customHeight="1">
      <c r="A44" s="78"/>
      <c r="B44" s="22"/>
      <c r="C44" s="33"/>
      <c r="D44" s="26"/>
      <c r="E44" s="27"/>
      <c r="F44" s="28"/>
      <c r="G44" s="34"/>
      <c r="H44" s="23"/>
      <c r="I44" s="22"/>
      <c r="J44" s="7"/>
      <c r="K44" s="24"/>
      <c r="L44" s="22"/>
      <c r="M44" s="84"/>
      <c r="N44" s="26"/>
      <c r="O44" s="27"/>
      <c r="P44" s="28"/>
      <c r="Q44" s="54"/>
      <c r="R44" s="23"/>
      <c r="S44" s="22"/>
      <c r="T44" s="7"/>
      <c r="U44" s="24"/>
      <c r="V44" s="22"/>
      <c r="W44" s="84"/>
      <c r="X44" s="26"/>
      <c r="Y44" s="27"/>
      <c r="Z44" s="28"/>
      <c r="AA44" s="54"/>
      <c r="AB44" s="23"/>
      <c r="AC44" s="22"/>
      <c r="AD44" s="7"/>
    </row>
    <row r="45" ht="12.0" customHeight="1">
      <c r="A45" s="85"/>
      <c r="B45" s="36"/>
      <c r="C45" s="37"/>
      <c r="D45" s="68"/>
      <c r="E45" s="41"/>
      <c r="F45" s="69"/>
      <c r="G45" s="41"/>
      <c r="H45" s="42"/>
      <c r="I45" s="36"/>
      <c r="J45" s="7"/>
      <c r="K45" s="86"/>
      <c r="L45" s="36"/>
      <c r="M45" s="37"/>
      <c r="N45" s="68"/>
      <c r="O45" s="41"/>
      <c r="P45" s="69"/>
      <c r="Q45" s="41"/>
      <c r="R45" s="42"/>
      <c r="S45" s="36"/>
      <c r="T45" s="7"/>
      <c r="U45" s="87" t="s">
        <v>60</v>
      </c>
      <c r="V45" s="39"/>
      <c r="W45" s="39"/>
      <c r="X45" s="39"/>
      <c r="Y45" s="39"/>
      <c r="Z45" s="39"/>
      <c r="AA45" s="39"/>
      <c r="AB45" s="39"/>
      <c r="AC45" s="36"/>
      <c r="AD45" s="7"/>
    </row>
    <row r="46" ht="12.0" customHeight="1">
      <c r="A46" s="88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</row>
    <row r="47" ht="12.0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</row>
    <row r="48" ht="12.0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</row>
    <row r="49" ht="12.0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</row>
    <row r="50" ht="12.0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</row>
    <row r="51" ht="12.0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</row>
    <row r="52" ht="12.0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</row>
    <row r="53" ht="12.0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</row>
    <row r="54" ht="12.0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</row>
    <row r="55" ht="12.0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</row>
    <row r="56" ht="12.0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</row>
    <row r="57" ht="12.0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</row>
    <row r="58" ht="12.0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</row>
    <row r="59" ht="12.0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</row>
    <row r="60" ht="12.0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</row>
    <row r="61" ht="12.0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</row>
    <row r="62" ht="12.0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</row>
    <row r="63" ht="12.0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</row>
    <row r="64" ht="12.0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</row>
    <row r="65" ht="12.0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</row>
    <row r="66" ht="12.0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</row>
    <row r="67" ht="12.0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</row>
    <row r="68" ht="12.0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</row>
    <row r="69" ht="12.0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</row>
    <row r="70" ht="12.0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</row>
    <row r="71" ht="12.0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</row>
    <row r="72" ht="12.0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</row>
    <row r="73" ht="12.0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</row>
    <row r="74" ht="12.0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</row>
    <row r="75" ht="12.0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</row>
    <row r="76" ht="12.0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</row>
    <row r="77" ht="12.0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</row>
    <row r="78" ht="12.0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</row>
    <row r="79" ht="12.0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</row>
    <row r="80" ht="12.0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</row>
    <row r="81" ht="12.0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</row>
    <row r="82" ht="12.0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</row>
    <row r="83" ht="12.0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</row>
    <row r="84" ht="12.0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</row>
    <row r="85" ht="12.0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</row>
    <row r="86" ht="12.0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</row>
    <row r="87" ht="12.0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</row>
    <row r="88" ht="12.0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</row>
    <row r="89" ht="12.0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</row>
    <row r="90" ht="12.0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</row>
    <row r="91" ht="12.0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</row>
    <row r="92" ht="12.0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</row>
    <row r="93" ht="12.0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</row>
    <row r="94" ht="12.0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</row>
    <row r="95" ht="12.0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</row>
    <row r="96" ht="12.0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</row>
    <row r="97" ht="12.0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</row>
    <row r="98" ht="12.0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</row>
    <row r="99" ht="12.0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</row>
    <row r="100" ht="12.0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</row>
    <row r="101" ht="12.0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</row>
    <row r="102" ht="12.0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</row>
    <row r="103" ht="12.0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</row>
    <row r="104" ht="12.0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</row>
    <row r="105" ht="12.0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</row>
    <row r="106" ht="12.0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</row>
    <row r="107" ht="12.0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</row>
    <row r="108" ht="12.0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</row>
    <row r="109" ht="12.0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</row>
    <row r="110" ht="12.0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</row>
    <row r="111" ht="12.0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</row>
    <row r="112" ht="12.0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</row>
    <row r="113" ht="12.0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ht="12.0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ht="12.0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ht="12.0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ht="12.0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ht="12.0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ht="12.0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ht="12.0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ht="12.0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ht="12.0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ht="12.0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ht="12.0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ht="12.0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ht="12.0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ht="12.0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ht="12.0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ht="12.0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ht="12.0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ht="12.0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ht="12.0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ht="12.0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ht="12.0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ht="12.0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ht="12.0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ht="12.0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ht="12.0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ht="12.0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ht="12.0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ht="12.0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ht="12.0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ht="12.0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ht="12.0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ht="12.0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ht="12.0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ht="12.0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ht="12.0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ht="12.0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ht="12.0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ht="12.0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ht="12.0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ht="12.0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ht="12.0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ht="12.0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ht="12.0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ht="12.0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ht="12.0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ht="12.0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ht="12.0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ht="12.0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ht="12.0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ht="12.0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ht="12.0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ht="12.0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ht="12.0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ht="12.0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ht="12.0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ht="12.0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ht="12.0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ht="12.0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ht="12.0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ht="12.0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ht="12.0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ht="12.0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ht="12.0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ht="12.0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ht="12.0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ht="12.0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ht="12.0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ht="12.0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ht="12.0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ht="12.0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ht="12.0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ht="12.0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ht="12.0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ht="12.0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ht="12.0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ht="12.0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ht="12.0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ht="12.0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ht="12.0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ht="12.0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ht="12.0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ht="12.0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ht="12.0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ht="12.0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ht="12.0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ht="12.0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ht="12.0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ht="12.0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ht="12.0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ht="12.0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ht="12.0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ht="12.0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ht="12.0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ht="12.0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ht="12.0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ht="12.0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ht="12.0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ht="12.0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ht="12.0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ht="12.0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ht="12.0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ht="12.0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ht="12.0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ht="12.0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ht="12.0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ht="12.0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ht="12.0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ht="12.0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ht="12.0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ht="12.0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ht="12.0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ht="12.0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ht="12.0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ht="12.0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ht="12.0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ht="12.0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ht="12.0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ht="12.0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ht="12.0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ht="12.0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ht="12.0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ht="12.0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ht="12.0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ht="12.0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ht="12.0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ht="12.0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ht="12.0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ht="12.0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ht="12.0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ht="12.0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ht="12.0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ht="12.0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ht="12.0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ht="12.0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ht="12.0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ht="12.0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ht="12.0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ht="12.0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ht="12.0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ht="12.0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ht="12.0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ht="12.0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ht="12.0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ht="12.0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ht="12.0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ht="12.0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ht="12.0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ht="12.0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ht="12.0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ht="12.0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ht="12.0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ht="12.0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ht="12.0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ht="12.0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ht="12.0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ht="12.0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ht="12.0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ht="12.0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ht="12.0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ht="12.0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ht="12.0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ht="12.0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ht="12.0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ht="12.0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ht="12.0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ht="12.0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ht="12.0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ht="12.0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ht="12.0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ht="12.0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ht="12.0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ht="12.0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ht="12.0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ht="12.0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ht="12.0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ht="12.0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ht="12.0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ht="12.0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ht="12.0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ht="12.0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ht="12.0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ht="12.0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ht="12.0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ht="12.0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ht="12.0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ht="12.0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ht="12.0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ht="12.0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ht="12.0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ht="12.0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ht="12.0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ht="12.0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ht="12.0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ht="12.0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ht="12.0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ht="12.0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ht="12.0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ht="12.0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ht="12.0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ht="12.0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ht="12.0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ht="12.0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ht="12.0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ht="12.0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ht="12.0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ht="12.0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ht="12.0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ht="12.0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ht="12.0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ht="12.0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ht="12.0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ht="12.0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ht="12.0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ht="12.0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ht="12.0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ht="12.0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ht="12.0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ht="12.0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ht="12.0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ht="12.0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ht="12.0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ht="12.0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ht="12.0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ht="12.0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ht="12.0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ht="12.0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ht="12.0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ht="12.0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ht="12.0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ht="12.0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ht="12.0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ht="12.0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ht="12.0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ht="12.0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ht="12.0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ht="12.0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ht="12.0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ht="12.0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ht="12.0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ht="12.0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ht="12.0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ht="12.0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ht="12.0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ht="12.0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ht="12.0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ht="12.0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ht="12.0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ht="12.0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ht="12.0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ht="12.0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ht="12.0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ht="12.0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ht="12.0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ht="12.0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ht="12.0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ht="12.0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ht="12.0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ht="12.0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ht="12.0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ht="12.0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ht="12.0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ht="12.0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ht="12.0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ht="12.0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ht="12.0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ht="12.0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ht="12.0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ht="12.0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ht="12.0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ht="12.0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ht="12.0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ht="12.0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ht="12.0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ht="12.0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ht="12.0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ht="12.0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ht="12.0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ht="12.0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ht="12.0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ht="12.0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ht="12.0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ht="12.0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  <row r="396" ht="12.0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</row>
    <row r="397" ht="12.0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</row>
    <row r="398" ht="12.0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</row>
    <row r="399" ht="12.0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</row>
    <row r="400" ht="12.0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</row>
    <row r="401" ht="12.0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</row>
    <row r="402" ht="12.0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</row>
    <row r="403" ht="12.0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</row>
    <row r="404" ht="12.0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</row>
    <row r="405" ht="12.0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</row>
    <row r="406" ht="12.0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</row>
    <row r="407" ht="12.0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</row>
    <row r="408" ht="12.0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</row>
    <row r="409" ht="12.0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</row>
    <row r="410" ht="12.0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</row>
    <row r="411" ht="12.0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</row>
    <row r="412" ht="12.0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</row>
    <row r="413" ht="12.0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</row>
    <row r="414" ht="12.0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</row>
    <row r="415" ht="12.0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</row>
    <row r="416" ht="12.0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</row>
    <row r="417" ht="12.0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</row>
    <row r="418" ht="12.0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</row>
    <row r="419" ht="12.0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</row>
    <row r="420" ht="12.0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</row>
    <row r="421" ht="12.0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</row>
    <row r="422" ht="12.0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</row>
    <row r="423" ht="12.0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</row>
    <row r="424" ht="12.0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</row>
    <row r="425" ht="12.0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</row>
    <row r="426" ht="12.0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</row>
    <row r="427" ht="12.0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</row>
    <row r="428" ht="12.0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</row>
    <row r="429" ht="12.0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</row>
    <row r="430" ht="12.0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</row>
    <row r="431" ht="12.0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</row>
    <row r="432" ht="12.0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</row>
    <row r="433" ht="12.0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</row>
    <row r="434" ht="12.0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</row>
    <row r="435" ht="12.0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</row>
    <row r="436" ht="12.0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</row>
    <row r="437" ht="12.0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</row>
    <row r="438" ht="12.0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</row>
    <row r="439" ht="12.0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</row>
    <row r="440" ht="12.0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</row>
    <row r="441" ht="12.0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</row>
    <row r="442" ht="12.0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</row>
    <row r="443" ht="12.0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</row>
    <row r="444" ht="12.0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</row>
    <row r="445" ht="12.0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</row>
    <row r="446" ht="12.0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</row>
    <row r="447" ht="12.0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</row>
    <row r="448" ht="12.0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</row>
    <row r="449" ht="12.0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</row>
    <row r="450" ht="12.0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</row>
    <row r="451" ht="12.0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</row>
    <row r="452" ht="12.0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</row>
    <row r="453" ht="12.0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</row>
    <row r="454" ht="12.0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</row>
    <row r="455" ht="12.0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</row>
    <row r="456" ht="12.0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</row>
    <row r="457" ht="12.0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</row>
    <row r="458" ht="12.0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</row>
    <row r="459" ht="12.0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</row>
    <row r="460" ht="12.0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</row>
    <row r="461" ht="12.0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</row>
    <row r="462" ht="12.0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</row>
    <row r="463" ht="12.0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</row>
    <row r="464" ht="12.0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</row>
    <row r="465" ht="12.0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</row>
    <row r="466" ht="12.0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</row>
    <row r="467" ht="12.0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</row>
    <row r="468" ht="12.0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</row>
    <row r="469" ht="12.0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</row>
    <row r="470" ht="12.0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</row>
    <row r="471" ht="12.0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</row>
    <row r="472" ht="12.0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</row>
    <row r="473" ht="12.0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</row>
    <row r="474" ht="12.0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</row>
    <row r="475" ht="12.0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</row>
    <row r="476" ht="12.0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</row>
    <row r="477" ht="12.0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</row>
    <row r="478" ht="12.0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</row>
    <row r="479" ht="12.0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</row>
    <row r="480" ht="12.0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</row>
    <row r="481" ht="12.0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</row>
    <row r="482" ht="12.0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</row>
    <row r="483" ht="12.0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</row>
    <row r="484" ht="12.0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</row>
    <row r="485" ht="12.0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</row>
    <row r="486" ht="12.0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</row>
    <row r="487" ht="12.0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</row>
    <row r="488" ht="12.0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</row>
    <row r="489" ht="12.0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</row>
    <row r="490" ht="12.0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</row>
    <row r="491" ht="12.0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</row>
    <row r="492" ht="12.0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</row>
    <row r="493" ht="12.0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</row>
    <row r="494" ht="12.0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</row>
    <row r="495" ht="12.0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</row>
    <row r="496" ht="12.0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</row>
    <row r="497" ht="12.0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</row>
    <row r="498" ht="12.0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</row>
    <row r="499" ht="12.0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</row>
    <row r="500" ht="12.0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</row>
    <row r="501" ht="12.0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</row>
    <row r="502" ht="12.0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</row>
    <row r="503" ht="12.0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</row>
    <row r="504" ht="12.0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</row>
    <row r="505" ht="12.0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</row>
    <row r="506" ht="12.0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</row>
    <row r="507" ht="12.0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</row>
    <row r="508" ht="12.0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</row>
    <row r="509" ht="12.0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</row>
    <row r="510" ht="12.0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</row>
    <row r="511" ht="12.0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</row>
    <row r="512" ht="12.0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</row>
    <row r="513" ht="12.0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</row>
    <row r="514" ht="12.0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</row>
    <row r="515" ht="12.0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</row>
    <row r="516" ht="12.0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</row>
    <row r="517" ht="12.0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</row>
    <row r="518" ht="12.0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</row>
    <row r="519" ht="12.0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</row>
    <row r="520" ht="12.0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</row>
    <row r="521" ht="12.0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</row>
    <row r="522" ht="12.0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</row>
    <row r="523" ht="12.0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</row>
    <row r="524" ht="12.0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</row>
    <row r="525" ht="12.0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</row>
    <row r="526" ht="12.0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</row>
    <row r="527" ht="12.0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</row>
    <row r="528" ht="12.0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</row>
    <row r="529" ht="12.0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</row>
    <row r="530" ht="12.0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</row>
    <row r="531" ht="12.0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</row>
    <row r="532" ht="12.0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</row>
    <row r="533" ht="12.0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</row>
    <row r="534" ht="12.0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</row>
    <row r="535" ht="12.0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</row>
    <row r="536" ht="12.0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</row>
    <row r="537" ht="12.0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</row>
    <row r="538" ht="12.0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</row>
    <row r="539" ht="12.0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</row>
    <row r="540" ht="12.0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</row>
    <row r="541" ht="12.0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</row>
    <row r="542" ht="12.0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</row>
    <row r="543" ht="12.0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</row>
    <row r="544" ht="12.0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</row>
    <row r="545" ht="12.0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</row>
    <row r="546" ht="12.0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</row>
    <row r="547" ht="12.0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</row>
    <row r="548" ht="12.0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</row>
    <row r="549" ht="12.0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</row>
    <row r="550" ht="12.0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</row>
    <row r="551" ht="12.0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</row>
    <row r="552" ht="12.0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</row>
    <row r="553" ht="12.0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</row>
    <row r="554" ht="12.0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</row>
    <row r="555" ht="12.0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</row>
    <row r="556" ht="12.0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</row>
    <row r="557" ht="12.0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</row>
    <row r="558" ht="12.0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</row>
    <row r="559" ht="12.0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</row>
    <row r="560" ht="12.0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</row>
    <row r="561" ht="12.0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</row>
    <row r="562" ht="12.0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</row>
    <row r="563" ht="12.0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</row>
    <row r="564" ht="12.0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</row>
    <row r="565" ht="12.0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</row>
    <row r="566" ht="12.0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</row>
    <row r="567" ht="12.0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</row>
    <row r="568" ht="12.0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</row>
    <row r="569" ht="12.0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</row>
    <row r="570" ht="12.0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</row>
    <row r="571" ht="12.0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</row>
    <row r="572" ht="12.0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</row>
    <row r="573" ht="12.0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</row>
    <row r="574" ht="12.0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</row>
    <row r="575" ht="12.0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</row>
    <row r="576" ht="12.0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</row>
    <row r="577" ht="12.0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</row>
    <row r="578" ht="12.0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</row>
    <row r="579" ht="12.0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</row>
    <row r="580" ht="12.0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</row>
    <row r="581" ht="12.0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</row>
    <row r="582" ht="12.0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</row>
    <row r="583" ht="12.0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</row>
    <row r="584" ht="12.0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</row>
    <row r="585" ht="12.0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</row>
    <row r="586" ht="12.0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</row>
    <row r="587" ht="12.0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</row>
    <row r="588" ht="12.0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</row>
    <row r="589" ht="12.0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</row>
    <row r="590" ht="12.0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</row>
    <row r="591" ht="12.0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</row>
    <row r="592" ht="12.0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</row>
    <row r="593" ht="12.0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</row>
    <row r="594" ht="12.0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</row>
    <row r="595" ht="12.0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</row>
    <row r="596" ht="12.0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</row>
    <row r="597" ht="12.0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</row>
    <row r="598" ht="12.0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</row>
    <row r="599" ht="12.0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</row>
    <row r="600" ht="12.0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</row>
    <row r="601" ht="12.0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</row>
    <row r="602" ht="12.0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</row>
    <row r="603" ht="12.0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</row>
    <row r="604" ht="12.0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</row>
    <row r="605" ht="12.0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</row>
    <row r="606" ht="12.0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</row>
    <row r="607" ht="12.0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</row>
    <row r="608" ht="12.0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</row>
    <row r="609" ht="12.0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</row>
    <row r="610" ht="12.0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</row>
    <row r="611" ht="12.0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</row>
    <row r="612" ht="12.0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</row>
    <row r="613" ht="12.0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</row>
    <row r="614" ht="12.0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</row>
    <row r="615" ht="12.0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</row>
    <row r="616" ht="12.0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</row>
    <row r="617" ht="12.0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</row>
    <row r="618" ht="12.0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</row>
    <row r="619" ht="12.0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</row>
    <row r="620" ht="12.0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</row>
    <row r="621" ht="12.0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</row>
    <row r="622" ht="12.0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</row>
    <row r="623" ht="12.0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</row>
    <row r="624" ht="12.0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</row>
    <row r="625" ht="12.0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</row>
    <row r="626" ht="12.0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</row>
    <row r="627" ht="12.0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</row>
    <row r="628" ht="12.0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</row>
    <row r="629" ht="12.0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</row>
    <row r="630" ht="12.0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</row>
    <row r="631" ht="12.0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</row>
    <row r="632" ht="12.0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</row>
    <row r="633" ht="12.0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</row>
    <row r="634" ht="12.0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</row>
    <row r="635" ht="12.0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</row>
    <row r="636" ht="12.0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</row>
    <row r="637" ht="12.0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</row>
    <row r="638" ht="12.0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</row>
    <row r="639" ht="12.0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</row>
    <row r="640" ht="12.0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</row>
    <row r="641" ht="12.0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</row>
    <row r="642" ht="12.0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</row>
    <row r="643" ht="12.0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</row>
    <row r="644" ht="12.0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</row>
    <row r="645" ht="12.0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</row>
    <row r="646" ht="12.0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</row>
    <row r="647" ht="12.0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</row>
    <row r="648" ht="12.0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</row>
    <row r="649" ht="12.0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</row>
    <row r="650" ht="12.0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</row>
    <row r="651" ht="12.0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</row>
    <row r="652" ht="12.0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</row>
    <row r="653" ht="12.0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</row>
    <row r="654" ht="12.0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</row>
    <row r="655" ht="12.0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</row>
    <row r="656" ht="12.0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</row>
    <row r="657" ht="12.0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</row>
    <row r="658" ht="12.0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</row>
    <row r="659" ht="12.0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</row>
    <row r="660" ht="12.0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</row>
    <row r="661" ht="12.0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</row>
    <row r="662" ht="12.0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</row>
    <row r="663" ht="12.0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</row>
    <row r="664" ht="12.0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</row>
    <row r="665" ht="12.0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</row>
    <row r="666" ht="12.0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</row>
    <row r="667" ht="12.0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</row>
    <row r="668" ht="12.0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</row>
    <row r="669" ht="12.0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</row>
    <row r="670" ht="12.0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</row>
    <row r="671" ht="12.0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</row>
    <row r="672" ht="12.0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</row>
    <row r="673" ht="12.0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</row>
    <row r="674" ht="12.0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</row>
    <row r="675" ht="12.0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</row>
    <row r="676" ht="12.0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</row>
    <row r="677" ht="12.0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</row>
    <row r="678" ht="12.0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</row>
    <row r="679" ht="12.0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</row>
    <row r="680" ht="12.0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</row>
    <row r="681" ht="12.0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</row>
    <row r="682" ht="12.0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</row>
    <row r="683" ht="12.0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</row>
    <row r="684" ht="12.0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</row>
    <row r="685" ht="12.0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</row>
    <row r="686" ht="12.0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</row>
    <row r="687" ht="12.0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</row>
    <row r="688" ht="12.0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</row>
    <row r="689" ht="12.0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</row>
    <row r="690" ht="12.0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</row>
    <row r="691" ht="12.0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</row>
    <row r="692" ht="12.0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</row>
    <row r="693" ht="12.0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</row>
    <row r="694" ht="12.0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</row>
    <row r="695" ht="12.0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</row>
    <row r="696" ht="12.0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</row>
    <row r="697" ht="12.0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</row>
    <row r="698" ht="12.0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</row>
    <row r="699" ht="12.0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</row>
    <row r="700" ht="12.0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</row>
    <row r="701" ht="12.0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</row>
    <row r="702" ht="12.0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</row>
    <row r="703" ht="12.0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</row>
    <row r="704" ht="12.0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</row>
    <row r="705" ht="12.0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</row>
    <row r="706" ht="12.0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</row>
    <row r="707" ht="12.0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</row>
    <row r="708" ht="12.0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</row>
    <row r="709" ht="12.0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</row>
    <row r="710" ht="12.0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</row>
    <row r="711" ht="12.0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</row>
    <row r="712" ht="12.0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</row>
    <row r="713" ht="12.0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</row>
    <row r="714" ht="12.0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</row>
    <row r="715" ht="12.0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</row>
    <row r="716" ht="12.0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</row>
    <row r="717" ht="12.0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</row>
    <row r="718" ht="12.0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</row>
    <row r="719" ht="12.0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</row>
    <row r="720" ht="12.0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</row>
    <row r="721" ht="12.0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</row>
    <row r="722" ht="12.0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</row>
    <row r="723" ht="12.0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</row>
    <row r="724" ht="12.0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</row>
    <row r="725" ht="12.0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</row>
    <row r="726" ht="12.0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</row>
    <row r="727" ht="12.0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</row>
    <row r="728" ht="12.0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</row>
    <row r="729" ht="12.0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</row>
    <row r="730" ht="12.0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</row>
    <row r="731" ht="12.0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</row>
    <row r="732" ht="12.0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</row>
    <row r="733" ht="12.0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</row>
    <row r="734" ht="12.0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</row>
    <row r="735" ht="12.0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</row>
    <row r="736" ht="12.0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</row>
    <row r="737" ht="12.0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</row>
    <row r="738" ht="12.0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</row>
    <row r="739" ht="12.0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</row>
    <row r="740" ht="12.0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</row>
    <row r="741" ht="12.0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</row>
    <row r="742" ht="12.0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</row>
    <row r="743" ht="12.0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</row>
    <row r="744" ht="12.0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</row>
    <row r="745" ht="12.0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</row>
    <row r="746" ht="12.0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</row>
    <row r="747" ht="12.0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</row>
    <row r="748" ht="12.0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</row>
    <row r="749" ht="12.0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</row>
    <row r="750" ht="12.0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</row>
    <row r="751" ht="12.0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</row>
    <row r="752" ht="12.0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</row>
    <row r="753" ht="12.0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</row>
    <row r="754" ht="12.0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</row>
    <row r="755" ht="12.0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</row>
    <row r="756" ht="12.0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</row>
    <row r="757" ht="12.0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</row>
    <row r="758" ht="12.0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</row>
    <row r="759" ht="12.0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</row>
    <row r="760" ht="12.0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</row>
    <row r="761" ht="12.0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</row>
    <row r="762" ht="12.0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</row>
    <row r="763" ht="12.0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</row>
    <row r="764" ht="12.0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</row>
    <row r="765" ht="12.0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</row>
    <row r="766" ht="12.0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</row>
    <row r="767" ht="12.0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</row>
    <row r="768" ht="12.0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</row>
    <row r="769" ht="12.0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</row>
    <row r="770" ht="12.0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</row>
    <row r="771" ht="12.0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</row>
    <row r="772" ht="12.0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</row>
    <row r="773" ht="12.0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</row>
    <row r="774" ht="12.0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</row>
    <row r="775" ht="12.0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</row>
    <row r="776" ht="12.0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</row>
    <row r="777" ht="12.0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</row>
    <row r="778" ht="12.0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</row>
    <row r="779" ht="12.0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</row>
    <row r="780" ht="12.0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</row>
    <row r="781" ht="12.0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</row>
    <row r="782" ht="12.0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</row>
    <row r="783" ht="12.0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</row>
    <row r="784" ht="12.0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</row>
    <row r="785" ht="12.0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</row>
    <row r="786" ht="12.0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</row>
    <row r="787" ht="12.0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</row>
    <row r="788" ht="12.0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</row>
    <row r="789" ht="12.0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</row>
    <row r="790" ht="12.0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</row>
    <row r="791" ht="12.0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</row>
    <row r="792" ht="12.0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</row>
    <row r="793" ht="12.0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</row>
    <row r="794" ht="12.0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</row>
    <row r="795" ht="12.0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</row>
    <row r="796" ht="12.0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</row>
    <row r="797" ht="12.0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</row>
    <row r="798" ht="12.0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</row>
    <row r="799" ht="12.0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</row>
    <row r="800" ht="12.0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</row>
    <row r="801" ht="12.0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</row>
    <row r="802" ht="12.0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</row>
    <row r="803" ht="12.0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</row>
    <row r="804" ht="12.0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</row>
    <row r="805" ht="12.0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</row>
    <row r="806" ht="12.0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</row>
    <row r="807" ht="12.0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</row>
    <row r="808" ht="12.0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</row>
    <row r="809" ht="12.0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</row>
    <row r="810" ht="12.0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</row>
    <row r="811" ht="12.0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</row>
    <row r="812" ht="12.0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</row>
    <row r="813" ht="12.0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</row>
    <row r="814" ht="12.0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</row>
    <row r="815" ht="12.0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</row>
    <row r="816" ht="12.0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</row>
    <row r="817" ht="12.0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</row>
    <row r="818" ht="12.0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</row>
    <row r="819" ht="12.0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</row>
    <row r="820" ht="12.0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</row>
    <row r="821" ht="12.0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</row>
    <row r="822" ht="12.0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</row>
    <row r="823" ht="12.0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</row>
    <row r="824" ht="12.0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</row>
    <row r="825" ht="12.0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</row>
    <row r="826" ht="12.0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</row>
    <row r="827" ht="12.0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</row>
    <row r="828" ht="12.0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</row>
    <row r="829" ht="12.0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</row>
    <row r="830" ht="12.0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</row>
    <row r="831" ht="12.0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</row>
    <row r="832" ht="12.0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</row>
    <row r="833" ht="12.0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</row>
    <row r="834" ht="12.0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</row>
    <row r="835" ht="12.0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</row>
    <row r="836" ht="12.0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</row>
    <row r="837" ht="12.0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</row>
    <row r="838" ht="12.0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</row>
    <row r="839" ht="12.0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</row>
    <row r="840" ht="12.0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</row>
    <row r="841" ht="12.0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</row>
    <row r="842" ht="12.0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</row>
    <row r="843" ht="12.0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</row>
    <row r="844" ht="12.0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</row>
    <row r="845" ht="12.0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</row>
    <row r="846" ht="12.0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</row>
    <row r="847" ht="12.0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</row>
    <row r="848" ht="12.0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</row>
    <row r="849" ht="12.0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</row>
    <row r="850" ht="12.0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</row>
    <row r="851" ht="12.0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</row>
    <row r="852" ht="12.0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</row>
    <row r="853" ht="12.0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</row>
    <row r="854" ht="12.0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</row>
    <row r="855" ht="12.0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</row>
    <row r="856" ht="12.0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</row>
    <row r="857" ht="12.0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</row>
    <row r="858" ht="12.0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</row>
    <row r="859" ht="12.0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</row>
    <row r="860" ht="12.0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</row>
    <row r="861" ht="12.0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</row>
    <row r="862" ht="12.0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</row>
    <row r="863" ht="12.0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</row>
    <row r="864" ht="12.0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</row>
    <row r="865" ht="12.0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</row>
    <row r="866" ht="12.0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</row>
    <row r="867" ht="12.0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</row>
    <row r="868" ht="12.0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</row>
    <row r="869" ht="12.0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</row>
    <row r="870" ht="12.0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</row>
    <row r="871" ht="12.0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</row>
    <row r="872" ht="12.0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</row>
    <row r="873" ht="12.0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</row>
    <row r="874" ht="12.0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</row>
    <row r="875" ht="12.0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</row>
    <row r="876" ht="12.0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</row>
    <row r="877" ht="12.0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</row>
    <row r="878" ht="12.0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</row>
    <row r="879" ht="12.0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</row>
    <row r="880" ht="12.0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</row>
    <row r="881" ht="12.0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</row>
    <row r="882" ht="12.0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</row>
    <row r="883" ht="12.0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</row>
    <row r="884" ht="12.0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</row>
    <row r="885" ht="12.0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</row>
    <row r="886" ht="12.0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</row>
    <row r="887" ht="12.0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</row>
    <row r="888" ht="12.0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</row>
    <row r="889" ht="12.0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</row>
    <row r="890" ht="12.0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</row>
    <row r="891" ht="12.0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</row>
    <row r="892" ht="12.0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</row>
    <row r="893" ht="12.0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</row>
    <row r="894" ht="12.0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</row>
    <row r="895" ht="12.0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</row>
    <row r="896" ht="12.0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</row>
    <row r="897" ht="12.0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</row>
    <row r="898" ht="12.0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</row>
    <row r="899" ht="12.0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</row>
    <row r="900" ht="12.0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</row>
    <row r="901" ht="12.0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</row>
    <row r="902" ht="12.0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</row>
    <row r="903" ht="12.0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</row>
    <row r="904" ht="12.0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</row>
    <row r="905" ht="12.0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</row>
    <row r="906" ht="12.0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</row>
    <row r="907" ht="12.0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</row>
    <row r="908" ht="12.0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</row>
    <row r="909" ht="12.0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</row>
    <row r="910" ht="12.0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</row>
    <row r="911" ht="12.0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</row>
    <row r="912" ht="12.0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</row>
    <row r="913" ht="12.0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</row>
    <row r="914" ht="12.0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</row>
    <row r="915" ht="12.0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</row>
    <row r="916" ht="12.0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</row>
    <row r="917" ht="12.0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</row>
    <row r="918" ht="12.0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</row>
    <row r="919" ht="12.0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</row>
    <row r="920" ht="12.0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</row>
    <row r="921" ht="12.0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</row>
    <row r="922" ht="12.0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</row>
    <row r="923" ht="12.0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</row>
    <row r="924" ht="12.0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</row>
    <row r="925" ht="12.0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</row>
    <row r="926" ht="12.0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</row>
    <row r="927" ht="12.0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</row>
    <row r="928" ht="12.0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</row>
    <row r="929" ht="12.0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</row>
    <row r="930" ht="12.0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</row>
    <row r="931" ht="12.0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</row>
    <row r="932" ht="12.0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</row>
    <row r="933" ht="12.0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</row>
    <row r="934" ht="12.0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</row>
    <row r="935" ht="12.0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</row>
    <row r="936" ht="12.0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</row>
    <row r="937" ht="12.0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</row>
    <row r="938" ht="12.0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</row>
    <row r="939" ht="12.0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</row>
    <row r="940" ht="12.0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</row>
    <row r="941" ht="12.0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</row>
    <row r="942" ht="12.0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</row>
    <row r="943" ht="12.0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</row>
    <row r="944" ht="12.0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</row>
    <row r="945" ht="12.0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</row>
    <row r="946" ht="12.0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</row>
    <row r="947" ht="12.0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</row>
    <row r="948" ht="12.0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</row>
    <row r="949" ht="12.0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</row>
    <row r="950" ht="12.0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</row>
    <row r="951" ht="12.0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</row>
    <row r="952" ht="12.0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</row>
    <row r="953" ht="12.0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</row>
    <row r="954" ht="12.0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</row>
    <row r="955" ht="12.0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</row>
    <row r="956" ht="12.0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</row>
    <row r="957" ht="12.0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</row>
    <row r="958" ht="12.0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</row>
    <row r="959" ht="12.0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</row>
    <row r="960" ht="12.0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</row>
    <row r="961" ht="12.0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</row>
    <row r="962" ht="12.0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</row>
    <row r="963" ht="12.0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</row>
    <row r="964" ht="12.0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</row>
    <row r="965" ht="12.0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</row>
    <row r="966" ht="12.0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</row>
    <row r="967" ht="12.0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</row>
    <row r="968" ht="12.0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</row>
    <row r="969" ht="12.0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</row>
    <row r="970" ht="12.0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</row>
    <row r="971" ht="12.0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</row>
    <row r="972" ht="12.0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</row>
    <row r="973" ht="12.0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</row>
    <row r="974" ht="12.0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</row>
    <row r="975" ht="12.0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</row>
    <row r="976" ht="12.0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</row>
    <row r="977" ht="12.0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</row>
    <row r="978" ht="12.0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</row>
    <row r="979" ht="12.0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</row>
    <row r="980" ht="12.0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</row>
    <row r="981" ht="12.0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</row>
    <row r="982" ht="12.0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</row>
    <row r="983" ht="12.0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</row>
    <row r="984" ht="12.0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</row>
    <row r="985" ht="12.0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</row>
    <row r="986" ht="12.0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</row>
    <row r="987" ht="12.0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</row>
    <row r="988" ht="12.0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</row>
    <row r="989" ht="12.0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</row>
    <row r="990" ht="12.0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</row>
    <row r="991" ht="12.0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</row>
    <row r="992" ht="12.0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</row>
    <row r="993" ht="12.0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</row>
    <row r="994" ht="12.0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</row>
    <row r="995" ht="12.0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</row>
    <row r="996" ht="12.0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</row>
    <row r="997" ht="12.0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</row>
    <row r="998" ht="12.0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</row>
    <row r="999" ht="12.0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</row>
    <row r="1000" ht="12.0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</row>
  </sheetData>
  <mergeCells count="262">
    <mergeCell ref="H38:I38"/>
    <mergeCell ref="H39:I39"/>
    <mergeCell ref="K34:L34"/>
    <mergeCell ref="K35:L35"/>
    <mergeCell ref="H36:I36"/>
    <mergeCell ref="K36:L36"/>
    <mergeCell ref="H37:I37"/>
    <mergeCell ref="K37:L37"/>
    <mergeCell ref="K38:L38"/>
    <mergeCell ref="K39:L3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A16:B16"/>
    <mergeCell ref="A17:B17"/>
    <mergeCell ref="A18:B18"/>
    <mergeCell ref="A19:B19"/>
    <mergeCell ref="D20:F20"/>
    <mergeCell ref="H20:I20"/>
    <mergeCell ref="H21:I21"/>
    <mergeCell ref="A20:B20"/>
    <mergeCell ref="A21:B21"/>
    <mergeCell ref="A22:B22"/>
    <mergeCell ref="A23:B23"/>
    <mergeCell ref="A24:B24"/>
    <mergeCell ref="A25:B25"/>
    <mergeCell ref="A26:B26"/>
    <mergeCell ref="H22:I22"/>
    <mergeCell ref="H23:I23"/>
    <mergeCell ref="H24:I24"/>
    <mergeCell ref="D25:F25"/>
    <mergeCell ref="H25:I25"/>
    <mergeCell ref="H26:I26"/>
    <mergeCell ref="D28:F28"/>
    <mergeCell ref="A27:B27"/>
    <mergeCell ref="A28:B28"/>
    <mergeCell ref="A29:B29"/>
    <mergeCell ref="A30:B30"/>
    <mergeCell ref="A31:B31"/>
    <mergeCell ref="A32:B32"/>
    <mergeCell ref="A33:B33"/>
    <mergeCell ref="A40:B40"/>
    <mergeCell ref="A41:B41"/>
    <mergeCell ref="A44:B44"/>
    <mergeCell ref="A45:B45"/>
    <mergeCell ref="K40:L40"/>
    <mergeCell ref="K41:L41"/>
    <mergeCell ref="K42:L42"/>
    <mergeCell ref="K43:L43"/>
    <mergeCell ref="K44:L44"/>
    <mergeCell ref="K45:L45"/>
    <mergeCell ref="H41:I41"/>
    <mergeCell ref="A42:I42"/>
    <mergeCell ref="A43:I43"/>
    <mergeCell ref="H44:I44"/>
    <mergeCell ref="H45:I45"/>
    <mergeCell ref="A46:I46"/>
    <mergeCell ref="A34:B34"/>
    <mergeCell ref="A35:B35"/>
    <mergeCell ref="A36:B36"/>
    <mergeCell ref="A37:B37"/>
    <mergeCell ref="A38:B38"/>
    <mergeCell ref="A39:B39"/>
    <mergeCell ref="H40:I40"/>
    <mergeCell ref="V2:AA2"/>
    <mergeCell ref="V3:AA3"/>
    <mergeCell ref="V4:AA4"/>
    <mergeCell ref="V5:AA5"/>
    <mergeCell ref="V6:AA6"/>
    <mergeCell ref="V7:AA7"/>
    <mergeCell ref="L3:Q3"/>
    <mergeCell ref="L4:Q4"/>
    <mergeCell ref="B5:G5"/>
    <mergeCell ref="L5:Q5"/>
    <mergeCell ref="B6:G6"/>
    <mergeCell ref="L6:Q6"/>
    <mergeCell ref="A2:A7"/>
    <mergeCell ref="B2:G2"/>
    <mergeCell ref="K2:K7"/>
    <mergeCell ref="L2:Q2"/>
    <mergeCell ref="U2:U7"/>
    <mergeCell ref="B3:G3"/>
    <mergeCell ref="B4:G4"/>
    <mergeCell ref="B7:G7"/>
    <mergeCell ref="L7:Q7"/>
    <mergeCell ref="B8:I8"/>
    <mergeCell ref="A9:B10"/>
    <mergeCell ref="C9:F9"/>
    <mergeCell ref="G9:I9"/>
    <mergeCell ref="K9:L10"/>
    <mergeCell ref="H11:I11"/>
    <mergeCell ref="H12:I12"/>
    <mergeCell ref="K18:L18"/>
    <mergeCell ref="K19:L19"/>
    <mergeCell ref="H15:I15"/>
    <mergeCell ref="H16:I16"/>
    <mergeCell ref="H17:I17"/>
    <mergeCell ref="K17:L17"/>
    <mergeCell ref="H18:I18"/>
    <mergeCell ref="N18:P18"/>
    <mergeCell ref="H19:I19"/>
    <mergeCell ref="R11:S11"/>
    <mergeCell ref="R12:S12"/>
    <mergeCell ref="R13:S13"/>
    <mergeCell ref="U13:V13"/>
    <mergeCell ref="D10:F10"/>
    <mergeCell ref="H10:I10"/>
    <mergeCell ref="A11:B11"/>
    <mergeCell ref="K11:L11"/>
    <mergeCell ref="U11:V11"/>
    <mergeCell ref="K12:L12"/>
    <mergeCell ref="U12:V12"/>
    <mergeCell ref="K14:L14"/>
    <mergeCell ref="M14:P14"/>
    <mergeCell ref="R14:S14"/>
    <mergeCell ref="U14:V14"/>
    <mergeCell ref="A12:B12"/>
    <mergeCell ref="A13:B13"/>
    <mergeCell ref="H13:I13"/>
    <mergeCell ref="K13:L13"/>
    <mergeCell ref="A14:B14"/>
    <mergeCell ref="C14:F14"/>
    <mergeCell ref="H14:I14"/>
    <mergeCell ref="A15:B15"/>
    <mergeCell ref="D15:F15"/>
    <mergeCell ref="K15:L15"/>
    <mergeCell ref="N15:P15"/>
    <mergeCell ref="U15:V15"/>
    <mergeCell ref="K16:L16"/>
    <mergeCell ref="U16:V16"/>
    <mergeCell ref="R19:S19"/>
    <mergeCell ref="R20:S20"/>
    <mergeCell ref="R15:S15"/>
    <mergeCell ref="R16:S16"/>
    <mergeCell ref="R17:S17"/>
    <mergeCell ref="U17:V17"/>
    <mergeCell ref="R18:S18"/>
    <mergeCell ref="U18:V18"/>
    <mergeCell ref="U19:V19"/>
    <mergeCell ref="U20:V20"/>
    <mergeCell ref="X20:Z20"/>
    <mergeCell ref="R21:S21"/>
    <mergeCell ref="U21:V21"/>
    <mergeCell ref="R22:S22"/>
    <mergeCell ref="U22:V22"/>
    <mergeCell ref="R23:S23"/>
    <mergeCell ref="R24:S24"/>
    <mergeCell ref="X25:Z25"/>
    <mergeCell ref="R26:S26"/>
    <mergeCell ref="R27:S27"/>
    <mergeCell ref="U27:V27"/>
    <mergeCell ref="R28:S28"/>
    <mergeCell ref="U28:V28"/>
    <mergeCell ref="X28:Z28"/>
    <mergeCell ref="U29:V29"/>
    <mergeCell ref="H34:I34"/>
    <mergeCell ref="H35:I35"/>
    <mergeCell ref="H27:I27"/>
    <mergeCell ref="H28:I28"/>
    <mergeCell ref="H29:I29"/>
    <mergeCell ref="H30:I30"/>
    <mergeCell ref="H31:I31"/>
    <mergeCell ref="H32:I32"/>
    <mergeCell ref="H33:I33"/>
    <mergeCell ref="R32:S32"/>
    <mergeCell ref="R33:S33"/>
    <mergeCell ref="U33:V33"/>
    <mergeCell ref="R34:S34"/>
    <mergeCell ref="U34:V34"/>
    <mergeCell ref="U35:V35"/>
    <mergeCell ref="W35:Z35"/>
    <mergeCell ref="AB38:AC38"/>
    <mergeCell ref="AB39:AC39"/>
    <mergeCell ref="AB40:AC40"/>
    <mergeCell ref="AB41:AC41"/>
    <mergeCell ref="AB42:AC42"/>
    <mergeCell ref="AB43:AC43"/>
    <mergeCell ref="AB44:AC44"/>
    <mergeCell ref="R35:S35"/>
    <mergeCell ref="R36:S36"/>
    <mergeCell ref="U36:V36"/>
    <mergeCell ref="AB36:AC36"/>
    <mergeCell ref="R37:S37"/>
    <mergeCell ref="AB37:AC37"/>
    <mergeCell ref="R38:S38"/>
    <mergeCell ref="R41:S41"/>
    <mergeCell ref="R42:S42"/>
    <mergeCell ref="R43:S43"/>
    <mergeCell ref="R44:S44"/>
    <mergeCell ref="R45:S45"/>
    <mergeCell ref="U42:V42"/>
    <mergeCell ref="U43:V43"/>
    <mergeCell ref="U44:V44"/>
    <mergeCell ref="U45:AC45"/>
    <mergeCell ref="U37:V37"/>
    <mergeCell ref="U38:V38"/>
    <mergeCell ref="R39:S39"/>
    <mergeCell ref="U39:V39"/>
    <mergeCell ref="R40:S40"/>
    <mergeCell ref="U40:V40"/>
    <mergeCell ref="U41:V41"/>
    <mergeCell ref="M9:P9"/>
    <mergeCell ref="Q9:S9"/>
    <mergeCell ref="U9:V10"/>
    <mergeCell ref="W9:Z9"/>
    <mergeCell ref="AA9:AC9"/>
    <mergeCell ref="N10:P10"/>
    <mergeCell ref="R10:S10"/>
    <mergeCell ref="X10:Z10"/>
    <mergeCell ref="AB10:AC10"/>
    <mergeCell ref="AB11:AC11"/>
    <mergeCell ref="AB12:AC12"/>
    <mergeCell ref="AB13:AC13"/>
    <mergeCell ref="W14:Z14"/>
    <mergeCell ref="X15:Z15"/>
    <mergeCell ref="AB14:AC14"/>
    <mergeCell ref="AB15:AC15"/>
    <mergeCell ref="AB16:AC16"/>
    <mergeCell ref="AB17:AC17"/>
    <mergeCell ref="AB18:AC18"/>
    <mergeCell ref="AB19:AC19"/>
    <mergeCell ref="AB20:AC20"/>
    <mergeCell ref="U23:V23"/>
    <mergeCell ref="U24:V24"/>
    <mergeCell ref="N25:P25"/>
    <mergeCell ref="R25:S25"/>
    <mergeCell ref="U25:V25"/>
    <mergeCell ref="N26:P26"/>
    <mergeCell ref="U26:V26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21:AC21"/>
    <mergeCell ref="AB22:AC22"/>
    <mergeCell ref="AB23:AC23"/>
    <mergeCell ref="AB24:AC24"/>
    <mergeCell ref="AB25:AC25"/>
    <mergeCell ref="AB26:AC26"/>
    <mergeCell ref="AB27:AC27"/>
    <mergeCell ref="R29:S29"/>
    <mergeCell ref="N30:P30"/>
    <mergeCell ref="R30:S30"/>
    <mergeCell ref="U30:V30"/>
    <mergeCell ref="R31:S31"/>
    <mergeCell ref="U31:V31"/>
    <mergeCell ref="U32:V32"/>
  </mergeCells>
  <conditionalFormatting sqref="A16:B16 A18:B18 A21:B21 A23:B23 A25:B26">
    <cfRule type="expression" dxfId="0" priority="1" stopIfTrue="1">
      <formula>AND(XFA16&gt;0,A16=0)</formula>
    </cfRule>
  </conditionalFormatting>
  <conditionalFormatting sqref="A20:B20">
    <cfRule type="expression" dxfId="0" priority="2" stopIfTrue="1">
      <formula>AND(#REF!&gt;0,A20=0)</formula>
    </cfRule>
  </conditionalFormatting>
  <conditionalFormatting sqref="C11:C45 D41:F44 G11:I45">
    <cfRule type="expression" dxfId="1" priority="3" stopIfTrue="1">
      <formula>ISERROR(C11)</formula>
    </cfRule>
  </conditionalFormatting>
  <conditionalFormatting sqref="C11:D13">
    <cfRule type="expression" dxfId="1" priority="4" stopIfTrue="1">
      <formula>ISERROR(C11)</formula>
    </cfRule>
  </conditionalFormatting>
  <conditionalFormatting sqref="D11:F14 D16:F19 D21:F24 D26:F29 D31:F34 D36:F39 I11:I41 I44:I45 M11:M45 M30:S30 N16:P24 N26:P29 N31:P34 N36:P39 N41:P44 Q11:S45 W31:AA31 X16:Z19 X21:Z24 X26:Z29 X31:Z39 X32:Y34 X41:Z44 Z31:Z34 AC15:AC45">
    <cfRule type="expression" dxfId="1" priority="5" stopIfTrue="1">
      <formula>ISERROR(D11)</formula>
    </cfRule>
  </conditionalFormatting>
  <conditionalFormatting sqref="F11:F13">
    <cfRule type="expression" dxfId="1" priority="6" stopIfTrue="1">
      <formula>ISERROR(F11)</formula>
    </cfRule>
  </conditionalFormatting>
  <conditionalFormatting sqref="G9:I9 Q9:S9 AA9:AC9">
    <cfRule type="cellIs" dxfId="2" priority="7" stopIfTrue="1" operator="equal">
      <formula>0</formula>
    </cfRule>
  </conditionalFormatting>
  <conditionalFormatting sqref="K16:L16 K18:L18">
    <cfRule type="expression" dxfId="0" priority="8" stopIfTrue="1">
      <formula>AND(#REF!&gt;0,K16=0)</formula>
    </cfRule>
  </conditionalFormatting>
  <conditionalFormatting sqref="K16:L16 K18:L18">
    <cfRule type="expression" dxfId="0" priority="9" stopIfTrue="1">
      <formula>AND(#REF!&gt;0,K16=0)</formula>
    </cfRule>
  </conditionalFormatting>
  <conditionalFormatting sqref="K16:L16 K18:L18">
    <cfRule type="expression" dxfId="0" priority="10" stopIfTrue="1">
      <formula>AND(#REF!&gt;0,K16=0)</formula>
    </cfRule>
  </conditionalFormatting>
  <conditionalFormatting sqref="K16:L16 K18:L18 K21:L21 K23:L23">
    <cfRule type="expression" dxfId="0" priority="11" stopIfTrue="1">
      <formula>AND(G16&gt;0,K16=0)</formula>
    </cfRule>
  </conditionalFormatting>
  <conditionalFormatting sqref="K16:L16 K18:L18 K21:L21 K23:L23">
    <cfRule type="expression" dxfId="0" priority="12" stopIfTrue="1">
      <formula>AND(G16&gt;0,K16=0)</formula>
    </cfRule>
  </conditionalFormatting>
  <conditionalFormatting sqref="K21:L21 K23:L23">
    <cfRule type="expression" dxfId="0" priority="13" stopIfTrue="1">
      <formula>AND(#REF!&gt;0,K21=0)</formula>
    </cfRule>
  </conditionalFormatting>
  <conditionalFormatting sqref="K21:L21 K23:L23">
    <cfRule type="expression" dxfId="0" priority="14" stopIfTrue="1">
      <formula>AND(#REF!&gt;0,K21=0)</formula>
    </cfRule>
  </conditionalFormatting>
  <conditionalFormatting sqref="K21:L21 K23:L23">
    <cfRule type="expression" dxfId="0" priority="15" stopIfTrue="1">
      <formula>AND(#REF!&gt;0,K21=0)</formula>
    </cfRule>
  </conditionalFormatting>
  <conditionalFormatting sqref="K21:L21">
    <cfRule type="expression" dxfId="0" priority="16" stopIfTrue="1">
      <formula>AND(G21&gt;0,K21=0)</formula>
    </cfRule>
  </conditionalFormatting>
  <conditionalFormatting sqref="K21:L21">
    <cfRule type="expression" dxfId="0" priority="17" stopIfTrue="1">
      <formula>AND(G21&gt;0,K21=0)</formula>
    </cfRule>
  </conditionalFormatting>
  <conditionalFormatting sqref="K21:L21">
    <cfRule type="expression" dxfId="0" priority="18" stopIfTrue="1">
      <formula>AND(#REF!&gt;0,K21=0)</formula>
    </cfRule>
  </conditionalFormatting>
  <conditionalFormatting sqref="K26:L26">
    <cfRule type="expression" dxfId="0" priority="19" stopIfTrue="1">
      <formula>AND(#REF!&gt;0,K26=0)</formula>
    </cfRule>
  </conditionalFormatting>
  <conditionalFormatting sqref="K28:L28">
    <cfRule type="expression" dxfId="0" priority="20" stopIfTrue="1">
      <formula>AND(G28&gt;0,K28=0)</formula>
    </cfRule>
  </conditionalFormatting>
  <conditionalFormatting sqref="M11:N13">
    <cfRule type="expression" dxfId="1" priority="21" stopIfTrue="1">
      <formula>ISERROR(M11)</formula>
    </cfRule>
  </conditionalFormatting>
  <conditionalFormatting sqref="N11:S14">
    <cfRule type="expression" dxfId="1" priority="22" stopIfTrue="1">
      <formula>ISERROR(N11)</formula>
    </cfRule>
  </conditionalFormatting>
  <conditionalFormatting sqref="U11:V11 U16:V16 U18:V18">
    <cfRule type="expression" dxfId="0" priority="23" stopIfTrue="1">
      <formula>AND(#REF!&gt;0,U11=0)</formula>
    </cfRule>
  </conditionalFormatting>
  <conditionalFormatting sqref="U11:V11 U16:V16 U18:V18">
    <cfRule type="expression" dxfId="0" priority="24" stopIfTrue="1">
      <formula>AND(#REF!&gt;0,U11=0)</formula>
    </cfRule>
  </conditionalFormatting>
  <conditionalFormatting sqref="U11:V11">
    <cfRule type="expression" dxfId="0" priority="25" stopIfTrue="1">
      <formula>AND(Q11&gt;0,U11=0)</formula>
    </cfRule>
  </conditionalFormatting>
  <conditionalFormatting sqref="U11:V11">
    <cfRule type="expression" dxfId="0" priority="26" stopIfTrue="1">
      <formula>AND(Q11&gt;0,U11=0)</formula>
    </cfRule>
  </conditionalFormatting>
  <conditionalFormatting sqref="U16:V16 U18:V18 U21:V21 U23:V23">
    <cfRule type="expression" dxfId="0" priority="27" stopIfTrue="1">
      <formula>AND(Q16&gt;0,U16=0)</formula>
    </cfRule>
  </conditionalFormatting>
  <conditionalFormatting sqref="U16:V16 U18:V18">
    <cfRule type="expression" dxfId="0" priority="28" stopIfTrue="1">
      <formula>AND(#REF!&gt;0,U16=0)</formula>
    </cfRule>
  </conditionalFormatting>
  <conditionalFormatting sqref="U16:V16 U18:V18">
    <cfRule type="expression" dxfId="0" priority="29" stopIfTrue="1">
      <formula>AND(Q16&gt;0,U16=0)</formula>
    </cfRule>
  </conditionalFormatting>
  <conditionalFormatting sqref="W11:W45 AA11:AC45">
    <cfRule type="expression" dxfId="1" priority="30" stopIfTrue="1">
      <formula>ISERROR(W11)</formula>
    </cfRule>
  </conditionalFormatting>
  <conditionalFormatting sqref="W11:X13">
    <cfRule type="expression" dxfId="1" priority="31" stopIfTrue="1">
      <formula>ISERROR(W11)</formula>
    </cfRule>
  </conditionalFormatting>
  <conditionalFormatting sqref="X11:AC14">
    <cfRule type="expression" dxfId="1" priority="32" stopIfTrue="1">
      <formula>ISERROR(X11)</formula>
    </cfRule>
  </conditionalFormatting>
  <conditionalFormatting sqref="Z35:AC35">
    <cfRule type="expression" dxfId="1" priority="33" stopIfTrue="1">
      <formula>ISERROR(Z35)</formula>
    </cfRule>
  </conditionalFormatting>
  <conditionalFormatting sqref="AB34:AC34">
    <cfRule type="expression" dxfId="1" priority="34" stopIfTrue="1">
      <formula>ISERROR(AB34)</formula>
    </cfRule>
  </conditionalFormatting>
  <dataValidations>
    <dataValidation type="list" allowBlank="1" showInputMessage="1" prompt="Exercise Selection - Select the exercise based on the exercise class from the drop-down list. These exercises are listed on the MaxSheet worksheet." sqref="U13 A16 K16 U16 K18 U18 A20:A21 K20:K21 U21 K23 K26 U26 U28 K31 U31 U33 K41 U41 K43 U43 K45 U45">
      <formula1>INDIRECT(HLOOKUP(#REF!,SECONDARYLOOKUP,2,FALSE))</formula1>
    </dataValidation>
    <dataValidation type="list" allowBlank="1" showInputMessage="1" prompt="Exercise Selection - Select the exercise based on the exercise class from the drop-down list. These exercises are listed on the MaxSheet worksheet." sqref="A11 U11 A15 K15 U15 U20 U23 K25 A25:A26 A28 K30 U30 A30:A31 A33 A35:A36 K35:K36 U35:U36 A38 K38 U38 K40 U40 A40:A41 A45">
      <formula1>INDIRECT(HLOOKUP(XFA11,SECONDARYLOOKUP,2,FALSE))</formula1>
    </dataValidation>
    <dataValidation type="list" allowBlank="1" showErrorMessage="1" sqref="H12:H15 R12:R15 AB11:AB15 H17:H20 R17:R20 AB17:AB20 H22:H25 R22:R25 AB22:AB25 H27:H30 R27:R30 AB27:AB30 H32:H35 R32:R35 AB32:AB35 H37:H40 R37:R40 AB37:AB40 AB42:AB44 H44:H45 R42:R45">
      <formula1>Notes</formula1>
    </dataValidation>
    <dataValidation type="list" allowBlank="1" showInputMessage="1" prompt="Notes - Use the drop-down to select a note for this exercise. To add a note to the drop-down, select the notes worksheet and add the note." sqref="H11 R11 H16 R16 AB16 H21 R21 AB21 H26 R26 AB26 H31 R31 AB31 H36 R36 AB36 H41 R41 AB41">
      <formula1>Notes</formula1>
    </dataValidation>
  </dataValidations>
  <hyperlinks>
    <hyperlink r:id="rId1" ref="E11"/>
    <hyperlink r:id="rId2" ref="O11"/>
    <hyperlink r:id="rId3" ref="Y11"/>
    <hyperlink r:id="rId4" ref="E16"/>
    <hyperlink r:id="rId5" ref="O16"/>
    <hyperlink r:id="rId6" ref="Y16"/>
    <hyperlink r:id="rId7" ref="E18"/>
    <hyperlink r:id="rId8" ref="Y18"/>
    <hyperlink r:id="rId9" ref="E21"/>
    <hyperlink r:id="rId10" ref="Y26"/>
  </hyperlinks>
  <printOptions/>
  <pageMargins bottom="0.25" footer="0.0" header="0.0" left="0.45" right="0.2" top="0.25"/>
  <pageSetup orientation="landscape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workbookViewId="0"/>
  </sheetViews>
  <sheetFormatPr customHeight="1" defaultColWidth="12.63" defaultRowHeight="15.75"/>
  <cols>
    <col customWidth="1" min="1" max="2" width="6.38"/>
    <col customWidth="1" min="3" max="3" width="3.5"/>
    <col customWidth="1" min="4" max="4" width="3.38"/>
    <col customWidth="1" min="5" max="5" width="1.63"/>
    <col customWidth="1" min="6" max="6" width="4.0"/>
    <col customWidth="1" min="7" max="7" width="3.5"/>
    <col customWidth="1" min="8" max="9" width="3.75"/>
    <col customWidth="1" min="10" max="10" width="2.13"/>
    <col customWidth="1" min="11" max="12" width="7.0"/>
    <col customWidth="1" min="13" max="13" width="3.38"/>
    <col customWidth="1" min="14" max="14" width="3.75"/>
    <col customWidth="1" min="15" max="15" width="2.13"/>
    <col customWidth="1" min="16" max="17" width="3.88"/>
    <col customWidth="1" min="18" max="19" width="3.75"/>
    <col customWidth="1" min="20" max="20" width="1.38"/>
    <col customWidth="1" min="21" max="22" width="6.5"/>
    <col customWidth="1" min="23" max="23" width="3.13"/>
    <col customWidth="1" min="24" max="24" width="3.38"/>
    <col customWidth="1" min="25" max="25" width="1.63"/>
    <col customWidth="1" min="26" max="26" width="3.25"/>
    <col customWidth="1" min="27" max="27" width="4.38"/>
    <col customWidth="1" min="28" max="29" width="4.25"/>
    <col customWidth="1" min="30" max="30" width="8.0"/>
  </cols>
  <sheetData>
    <row r="1" ht="40.5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75" customHeight="1">
      <c r="A9" s="1" t="s">
        <v>0</v>
      </c>
      <c r="B9" s="2"/>
      <c r="C9" s="3" t="s">
        <v>69</v>
      </c>
      <c r="D9" s="4"/>
      <c r="E9" s="4"/>
      <c r="F9" s="4"/>
      <c r="G9" s="96" t="s">
        <v>70</v>
      </c>
      <c r="H9" s="4"/>
      <c r="I9" s="6"/>
      <c r="J9" s="7"/>
      <c r="K9" s="1" t="s">
        <v>3</v>
      </c>
      <c r="L9" s="2"/>
      <c r="M9" s="3" t="s">
        <v>69</v>
      </c>
      <c r="N9" s="4"/>
      <c r="O9" s="4"/>
      <c r="P9" s="4"/>
      <c r="Q9" s="96" t="s">
        <v>70</v>
      </c>
      <c r="R9" s="4"/>
      <c r="S9" s="6"/>
      <c r="T9" s="7"/>
      <c r="U9" s="1" t="s">
        <v>4</v>
      </c>
      <c r="V9" s="2"/>
      <c r="W9" s="3" t="s">
        <v>69</v>
      </c>
      <c r="X9" s="4"/>
      <c r="Y9" s="4"/>
      <c r="Z9" s="4"/>
      <c r="AA9" s="96" t="s">
        <v>70</v>
      </c>
      <c r="AB9" s="4"/>
      <c r="AC9" s="6"/>
      <c r="AD9" s="7"/>
    </row>
    <row r="10" ht="12.0" customHeight="1">
      <c r="A10" s="8"/>
      <c r="B10" s="9"/>
      <c r="C10" s="10" t="s">
        <v>5</v>
      </c>
      <c r="D10" s="11" t="s">
        <v>6</v>
      </c>
      <c r="E10" s="4"/>
      <c r="F10" s="4"/>
      <c r="G10" s="12" t="s">
        <v>7</v>
      </c>
      <c r="H10" s="11" t="s">
        <v>8</v>
      </c>
      <c r="I10" s="6"/>
      <c r="J10" s="7"/>
      <c r="K10" s="8"/>
      <c r="L10" s="9"/>
      <c r="M10" s="10" t="s">
        <v>5</v>
      </c>
      <c r="N10" s="11" t="s">
        <v>6</v>
      </c>
      <c r="O10" s="4"/>
      <c r="P10" s="4"/>
      <c r="Q10" s="12" t="s">
        <v>7</v>
      </c>
      <c r="R10" s="11" t="s">
        <v>8</v>
      </c>
      <c r="S10" s="6"/>
      <c r="T10" s="7"/>
      <c r="U10" s="8"/>
      <c r="V10" s="9"/>
      <c r="W10" s="10" t="s">
        <v>5</v>
      </c>
      <c r="X10" s="11" t="s">
        <v>6</v>
      </c>
      <c r="Y10" s="4"/>
      <c r="Z10" s="4"/>
      <c r="AA10" s="12" t="s">
        <v>7</v>
      </c>
      <c r="AB10" s="11" t="s">
        <v>8</v>
      </c>
      <c r="AC10" s="6"/>
      <c r="AD10" s="7"/>
    </row>
    <row r="11" ht="12.0" customHeight="1">
      <c r="A11" s="13" t="s">
        <v>9</v>
      </c>
      <c r="B11" s="14"/>
      <c r="C11" s="15">
        <v>5.0</v>
      </c>
      <c r="D11" s="16">
        <f>CEILING((37.5%*N8),5)</f>
        <v>0</v>
      </c>
      <c r="E11" s="17" t="s">
        <v>10</v>
      </c>
      <c r="F11" s="18">
        <f>CEILING((42.5%*N8),5)</f>
        <v>0</v>
      </c>
      <c r="G11" s="19">
        <v>1.0</v>
      </c>
      <c r="H11" s="20"/>
      <c r="I11" s="14"/>
      <c r="J11" s="7"/>
      <c r="K11" s="21" t="s">
        <v>11</v>
      </c>
      <c r="L11" s="22"/>
      <c r="M11" s="15">
        <v>5.0</v>
      </c>
      <c r="N11" s="16">
        <f>CEILING((37.5%*Q8),5)</f>
        <v>0</v>
      </c>
      <c r="O11" s="17" t="s">
        <v>10</v>
      </c>
      <c r="P11" s="18">
        <f>CEILING((42.5%*Q8),5)</f>
        <v>0</v>
      </c>
      <c r="Q11" s="19">
        <v>1.0</v>
      </c>
      <c r="R11" s="20"/>
      <c r="S11" s="14"/>
      <c r="T11" s="7"/>
      <c r="U11" s="13" t="s">
        <v>12</v>
      </c>
      <c r="V11" s="14"/>
      <c r="W11" s="15">
        <v>5.0</v>
      </c>
      <c r="X11" s="16">
        <f>CEILING((37.5%*S8),5)</f>
        <v>0</v>
      </c>
      <c r="Y11" s="17" t="s">
        <v>10</v>
      </c>
      <c r="Z11" s="18">
        <f>CEILING((42.5%*S8),5)</f>
        <v>0</v>
      </c>
      <c r="AA11" s="19">
        <v>1.0</v>
      </c>
      <c r="AB11" s="23"/>
      <c r="AC11" s="22"/>
      <c r="AD11" s="7"/>
    </row>
    <row r="12" ht="12.0" customHeight="1">
      <c r="A12" s="24"/>
      <c r="B12" s="22"/>
      <c r="C12" s="25">
        <v>5.0</v>
      </c>
      <c r="D12" s="26">
        <f>CEILING((47.5%*N8),5)</f>
        <v>0</v>
      </c>
      <c r="E12" s="27" t="s">
        <v>10</v>
      </c>
      <c r="F12" s="28">
        <f>CEILING((52.5%*N8),5)</f>
        <v>0</v>
      </c>
      <c r="G12" s="27">
        <v>1.0</v>
      </c>
      <c r="H12" s="29"/>
      <c r="I12" s="22"/>
      <c r="J12" s="7"/>
      <c r="K12" s="24"/>
      <c r="L12" s="22"/>
      <c r="M12" s="25">
        <v>5.0</v>
      </c>
      <c r="N12" s="26">
        <f>CEILING((47.5%*Q8),5)</f>
        <v>0</v>
      </c>
      <c r="O12" s="27" t="s">
        <v>10</v>
      </c>
      <c r="P12" s="28">
        <f>CEILING((52.5%*Q8),5)</f>
        <v>0</v>
      </c>
      <c r="Q12" s="27">
        <v>1.0</v>
      </c>
      <c r="R12" s="29"/>
      <c r="S12" s="22"/>
      <c r="T12" s="7"/>
      <c r="U12" s="24" t="s">
        <v>13</v>
      </c>
      <c r="V12" s="22"/>
      <c r="W12" s="25">
        <v>5.0</v>
      </c>
      <c r="X12" s="26">
        <f>CEILING((47.5%*S8),5)</f>
        <v>0</v>
      </c>
      <c r="Y12" s="27" t="s">
        <v>10</v>
      </c>
      <c r="Z12" s="28">
        <f>CEILING((52.5%*S8),5)</f>
        <v>0</v>
      </c>
      <c r="AA12" s="27">
        <v>1.0</v>
      </c>
      <c r="AB12" s="23"/>
      <c r="AC12" s="22"/>
      <c r="AD12" s="7"/>
    </row>
    <row r="13" ht="12.0" customHeight="1">
      <c r="A13" s="24" t="s">
        <v>14</v>
      </c>
      <c r="B13" s="22"/>
      <c r="C13" s="30">
        <v>5.0</v>
      </c>
      <c r="D13" s="26">
        <f>CEILING((57.5%*N8),5)</f>
        <v>0</v>
      </c>
      <c r="E13" s="27" t="s">
        <v>10</v>
      </c>
      <c r="F13" s="28">
        <f>CEILING((62.5%*N8),5)</f>
        <v>0</v>
      </c>
      <c r="G13" s="27">
        <v>1.0</v>
      </c>
      <c r="H13" s="23"/>
      <c r="I13" s="22"/>
      <c r="J13" s="7"/>
      <c r="K13" s="24" t="s">
        <v>14</v>
      </c>
      <c r="L13" s="22"/>
      <c r="M13" s="30">
        <v>5.0</v>
      </c>
      <c r="N13" s="26">
        <f>CEILING((57.5%*Q8),5)</f>
        <v>0</v>
      </c>
      <c r="O13" s="27" t="s">
        <v>10</v>
      </c>
      <c r="P13" s="28">
        <f>CEILING((62.5%*Q8),5)</f>
        <v>0</v>
      </c>
      <c r="Q13" s="27">
        <v>1.0</v>
      </c>
      <c r="R13" s="23"/>
      <c r="S13" s="22"/>
      <c r="T13" s="7"/>
      <c r="U13" s="31" t="s">
        <v>15</v>
      </c>
      <c r="V13" s="22"/>
      <c r="W13" s="30">
        <v>5.0</v>
      </c>
      <c r="X13" s="26">
        <f>CEILING((57.5%*S8),5)</f>
        <v>0</v>
      </c>
      <c r="Y13" s="27" t="s">
        <v>10</v>
      </c>
      <c r="Z13" s="28">
        <f>CEILING((62.5%*S8),5)</f>
        <v>0</v>
      </c>
      <c r="AA13" s="27">
        <v>1.0</v>
      </c>
      <c r="AB13" s="23"/>
      <c r="AC13" s="22"/>
      <c r="AD13" s="7"/>
    </row>
    <row r="14" ht="12.0" customHeight="1">
      <c r="A14" s="32"/>
      <c r="B14" s="22"/>
      <c r="C14" s="33"/>
      <c r="D14" s="26"/>
      <c r="E14" s="27"/>
      <c r="F14" s="28"/>
      <c r="G14" s="34"/>
      <c r="H14" s="23"/>
      <c r="I14" s="22"/>
      <c r="J14" s="7"/>
      <c r="K14" s="24"/>
      <c r="L14" s="22"/>
      <c r="M14" s="33"/>
      <c r="N14" s="26"/>
      <c r="O14" s="27"/>
      <c r="P14" s="28"/>
      <c r="Q14" s="34"/>
      <c r="R14" s="23"/>
      <c r="S14" s="22"/>
      <c r="T14" s="7"/>
      <c r="U14" s="24" t="s">
        <v>14</v>
      </c>
      <c r="V14" s="22"/>
      <c r="W14" s="33"/>
      <c r="X14" s="26"/>
      <c r="Y14" s="27"/>
      <c r="Z14" s="28"/>
      <c r="AA14" s="34"/>
      <c r="AB14" s="23"/>
      <c r="AC14" s="22"/>
      <c r="AD14" s="7"/>
    </row>
    <row r="15" ht="12.0" customHeight="1">
      <c r="A15" s="35" t="s">
        <v>16</v>
      </c>
      <c r="B15" s="36"/>
      <c r="C15" s="37">
        <v>5.0</v>
      </c>
      <c r="D15" s="38" t="s">
        <v>17</v>
      </c>
      <c r="E15" s="39"/>
      <c r="F15" s="40"/>
      <c r="G15" s="41">
        <v>3.0</v>
      </c>
      <c r="H15" s="42"/>
      <c r="I15" s="36"/>
      <c r="J15" s="7"/>
      <c r="K15" s="35" t="s">
        <v>18</v>
      </c>
      <c r="L15" s="36"/>
      <c r="M15" s="37">
        <v>5.0</v>
      </c>
      <c r="N15" s="43" t="s">
        <v>19</v>
      </c>
      <c r="O15" s="39"/>
      <c r="P15" s="40"/>
      <c r="Q15" s="41">
        <v>3.0</v>
      </c>
      <c r="R15" s="42"/>
      <c r="S15" s="36"/>
      <c r="T15" s="7"/>
      <c r="U15" s="35" t="s">
        <v>20</v>
      </c>
      <c r="V15" s="36"/>
      <c r="W15" s="37">
        <v>5.0</v>
      </c>
      <c r="X15" s="38" t="s">
        <v>17</v>
      </c>
      <c r="Y15" s="39"/>
      <c r="Z15" s="40"/>
      <c r="AA15" s="41">
        <v>3.0</v>
      </c>
      <c r="AB15" s="42"/>
      <c r="AC15" s="36"/>
      <c r="AD15" s="7"/>
    </row>
    <row r="16" ht="12.0" customHeight="1">
      <c r="A16" s="21" t="s">
        <v>21</v>
      </c>
      <c r="B16" s="22"/>
      <c r="C16" s="44">
        <v>8.0</v>
      </c>
      <c r="D16" s="97" t="s">
        <v>71</v>
      </c>
      <c r="E16" s="59"/>
      <c r="F16" s="60"/>
      <c r="G16" s="47">
        <v>3.0</v>
      </c>
      <c r="H16" s="48"/>
      <c r="I16" s="14"/>
      <c r="J16" s="7"/>
      <c r="K16" s="13" t="s">
        <v>22</v>
      </c>
      <c r="L16" s="14"/>
      <c r="M16" s="15">
        <v>8.0</v>
      </c>
      <c r="N16" s="97" t="s">
        <v>71</v>
      </c>
      <c r="O16" s="59"/>
      <c r="P16" s="60"/>
      <c r="Q16" s="19">
        <v>3.0</v>
      </c>
      <c r="R16" s="48"/>
      <c r="S16" s="14"/>
      <c r="T16" s="7"/>
      <c r="U16" s="13" t="s">
        <v>23</v>
      </c>
      <c r="V16" s="14"/>
      <c r="W16" s="15">
        <v>8.0</v>
      </c>
      <c r="X16" s="97" t="s">
        <v>71</v>
      </c>
      <c r="Y16" s="59"/>
      <c r="Z16" s="60"/>
      <c r="AA16" s="19">
        <v>3.0</v>
      </c>
      <c r="AB16" s="48"/>
      <c r="AC16" s="14"/>
      <c r="AD16" s="7"/>
    </row>
    <row r="17" ht="12.0" customHeight="1">
      <c r="A17" s="24" t="s">
        <v>14</v>
      </c>
      <c r="B17" s="22"/>
      <c r="C17" s="25"/>
      <c r="D17" s="98"/>
      <c r="E17" s="54"/>
      <c r="F17" s="99"/>
      <c r="G17" s="27"/>
      <c r="H17" s="49"/>
      <c r="I17" s="22"/>
      <c r="J17" s="7"/>
      <c r="K17" s="24" t="s">
        <v>14</v>
      </c>
      <c r="L17" s="22"/>
      <c r="M17" s="25"/>
      <c r="N17" s="26"/>
      <c r="O17" s="27"/>
      <c r="P17" s="28"/>
      <c r="Q17" s="27"/>
      <c r="R17" s="23"/>
      <c r="S17" s="22"/>
      <c r="T17" s="7"/>
      <c r="U17" s="24" t="s">
        <v>14</v>
      </c>
      <c r="V17" s="22"/>
      <c r="W17" s="25"/>
      <c r="X17" s="26"/>
      <c r="Y17" s="27"/>
      <c r="Z17" s="28"/>
      <c r="AA17" s="27"/>
      <c r="AB17" s="23"/>
      <c r="AC17" s="22"/>
      <c r="AD17" s="7"/>
    </row>
    <row r="18" ht="12.0" customHeight="1">
      <c r="A18" s="21" t="s">
        <v>24</v>
      </c>
      <c r="B18" s="22"/>
      <c r="C18" s="30">
        <v>8.0</v>
      </c>
      <c r="D18" s="100" t="s">
        <v>71</v>
      </c>
      <c r="E18" s="52"/>
      <c r="F18" s="53"/>
      <c r="G18" s="27">
        <v>3.0</v>
      </c>
      <c r="H18" s="29"/>
      <c r="I18" s="22"/>
      <c r="J18" s="7"/>
      <c r="K18" s="21" t="s">
        <v>25</v>
      </c>
      <c r="L18" s="22"/>
      <c r="M18" s="30">
        <v>10.0</v>
      </c>
      <c r="N18" s="51" t="s">
        <v>26</v>
      </c>
      <c r="O18" s="52"/>
      <c r="P18" s="53"/>
      <c r="Q18" s="27">
        <v>3.0</v>
      </c>
      <c r="R18" s="23" t="s">
        <v>27</v>
      </c>
      <c r="S18" s="22"/>
      <c r="T18" s="7"/>
      <c r="U18" s="21" t="s">
        <v>28</v>
      </c>
      <c r="V18" s="22"/>
      <c r="W18" s="30">
        <v>8.0</v>
      </c>
      <c r="X18" s="100" t="s">
        <v>71</v>
      </c>
      <c r="Y18" s="52"/>
      <c r="Z18" s="53"/>
      <c r="AA18" s="27">
        <v>3.0</v>
      </c>
      <c r="AB18" s="23"/>
      <c r="AC18" s="22"/>
      <c r="AD18" s="7"/>
    </row>
    <row r="19" ht="12.0" customHeight="1">
      <c r="A19" s="24" t="s">
        <v>14</v>
      </c>
      <c r="B19" s="22"/>
      <c r="C19" s="33"/>
      <c r="D19" s="26"/>
      <c r="E19" s="27"/>
      <c r="F19" s="28"/>
      <c r="G19" s="54"/>
      <c r="H19" s="29"/>
      <c r="I19" s="22"/>
      <c r="J19" s="7"/>
      <c r="K19" s="24" t="s">
        <v>14</v>
      </c>
      <c r="L19" s="22"/>
      <c r="M19" s="33"/>
      <c r="N19" s="26"/>
      <c r="O19" s="27"/>
      <c r="P19" s="28"/>
      <c r="Q19" s="34"/>
      <c r="R19" s="23"/>
      <c r="S19" s="22"/>
      <c r="T19" s="7"/>
      <c r="U19" s="24" t="s">
        <v>14</v>
      </c>
      <c r="V19" s="22"/>
      <c r="W19" s="33"/>
      <c r="X19" s="26"/>
      <c r="Y19" s="27"/>
      <c r="Z19" s="28"/>
      <c r="AA19" s="34"/>
      <c r="AB19" s="23"/>
      <c r="AC19" s="22"/>
      <c r="AD19" s="7"/>
    </row>
    <row r="20" ht="12.0" customHeight="1">
      <c r="A20" s="35" t="s">
        <v>29</v>
      </c>
      <c r="B20" s="36"/>
      <c r="C20" s="37">
        <v>10.0</v>
      </c>
      <c r="D20" s="38" t="s">
        <v>17</v>
      </c>
      <c r="E20" s="39"/>
      <c r="F20" s="40"/>
      <c r="G20" s="41">
        <v>3.0</v>
      </c>
      <c r="H20" s="42"/>
      <c r="I20" s="36"/>
      <c r="J20" s="7"/>
      <c r="K20" s="35" t="s">
        <v>30</v>
      </c>
      <c r="L20" s="36"/>
      <c r="M20" s="30">
        <v>8.0</v>
      </c>
      <c r="N20" s="38" t="s">
        <v>71</v>
      </c>
      <c r="O20" s="39"/>
      <c r="P20" s="40"/>
      <c r="Q20" s="41">
        <v>3.0</v>
      </c>
      <c r="R20" s="42"/>
      <c r="S20" s="36"/>
      <c r="T20" s="7"/>
      <c r="U20" s="21" t="s">
        <v>31</v>
      </c>
      <c r="V20" s="22"/>
      <c r="W20" s="37">
        <v>15.0</v>
      </c>
      <c r="X20" s="38" t="s">
        <v>26</v>
      </c>
      <c r="Y20" s="39"/>
      <c r="Z20" s="40"/>
      <c r="AA20" s="41">
        <v>3.0</v>
      </c>
      <c r="AB20" s="42"/>
      <c r="AC20" s="36"/>
      <c r="AD20" s="7"/>
    </row>
    <row r="21" ht="12.0" customHeight="1">
      <c r="A21" s="13" t="s">
        <v>32</v>
      </c>
      <c r="B21" s="14"/>
      <c r="C21" s="44">
        <v>8.0</v>
      </c>
      <c r="D21" s="97" t="s">
        <v>71</v>
      </c>
      <c r="E21" s="59"/>
      <c r="F21" s="60"/>
      <c r="G21" s="47">
        <v>3.0</v>
      </c>
      <c r="H21" s="48"/>
      <c r="I21" s="14"/>
      <c r="J21" s="7"/>
      <c r="K21" s="55" t="s">
        <v>33</v>
      </c>
      <c r="L21" s="56"/>
      <c r="M21" s="15">
        <v>8.0</v>
      </c>
      <c r="N21" s="97" t="s">
        <v>71</v>
      </c>
      <c r="O21" s="59"/>
      <c r="P21" s="60"/>
      <c r="Q21" s="19">
        <v>3.0</v>
      </c>
      <c r="R21" s="48"/>
      <c r="S21" s="14"/>
      <c r="T21" s="7"/>
      <c r="U21" s="13" t="s">
        <v>34</v>
      </c>
      <c r="V21" s="14"/>
      <c r="W21" s="15">
        <v>8.0</v>
      </c>
      <c r="X21" s="97" t="s">
        <v>71</v>
      </c>
      <c r="Y21" s="59"/>
      <c r="Z21" s="60"/>
      <c r="AA21" s="19">
        <v>3.0</v>
      </c>
      <c r="AB21" s="48"/>
      <c r="AC21" s="14"/>
      <c r="AD21" s="7"/>
    </row>
    <row r="22" ht="12.0" customHeight="1">
      <c r="A22" s="24" t="s">
        <v>14</v>
      </c>
      <c r="B22" s="22"/>
      <c r="C22" s="25"/>
      <c r="D22" s="26"/>
      <c r="E22" s="27"/>
      <c r="F22" s="28"/>
      <c r="G22" s="27"/>
      <c r="H22" s="49"/>
      <c r="I22" s="22"/>
      <c r="J22" s="7"/>
      <c r="K22" s="24" t="s">
        <v>14</v>
      </c>
      <c r="L22" s="22"/>
      <c r="M22" s="25"/>
      <c r="N22" s="26"/>
      <c r="O22" s="27"/>
      <c r="P22" s="28"/>
      <c r="Q22" s="27"/>
      <c r="R22" s="23"/>
      <c r="S22" s="22"/>
      <c r="T22" s="7"/>
      <c r="U22" s="24" t="s">
        <v>14</v>
      </c>
      <c r="V22" s="22"/>
      <c r="W22" s="25"/>
      <c r="X22" s="26"/>
      <c r="Y22" s="27"/>
      <c r="Z22" s="28"/>
      <c r="AA22" s="27"/>
      <c r="AB22" s="23"/>
      <c r="AC22" s="22"/>
      <c r="AD22" s="7"/>
    </row>
    <row r="23" ht="12.0" customHeight="1">
      <c r="A23" s="21" t="s">
        <v>35</v>
      </c>
      <c r="B23" s="22"/>
      <c r="C23" s="30">
        <v>8.0</v>
      </c>
      <c r="D23" s="100" t="s">
        <v>71</v>
      </c>
      <c r="E23" s="52"/>
      <c r="F23" s="53"/>
      <c r="G23" s="27">
        <v>3.0</v>
      </c>
      <c r="H23" s="29"/>
      <c r="I23" s="22"/>
      <c r="J23" s="7"/>
      <c r="K23" s="21" t="s">
        <v>36</v>
      </c>
      <c r="L23" s="22"/>
      <c r="M23" s="30">
        <v>8.0</v>
      </c>
      <c r="N23" s="100" t="s">
        <v>71</v>
      </c>
      <c r="O23" s="52"/>
      <c r="P23" s="53"/>
      <c r="Q23" s="27">
        <v>3.0</v>
      </c>
      <c r="R23" s="23"/>
      <c r="S23" s="22"/>
      <c r="T23" s="7"/>
      <c r="U23" s="21" t="s">
        <v>37</v>
      </c>
      <c r="V23" s="22"/>
      <c r="W23" s="30">
        <v>8.0</v>
      </c>
      <c r="X23" s="100" t="s">
        <v>71</v>
      </c>
      <c r="Y23" s="52"/>
      <c r="Z23" s="53"/>
      <c r="AA23" s="27">
        <v>3.0</v>
      </c>
      <c r="AB23" s="23"/>
      <c r="AC23" s="22"/>
      <c r="AD23" s="7"/>
    </row>
    <row r="24" ht="12.0" customHeight="1">
      <c r="A24" s="24" t="s">
        <v>14</v>
      </c>
      <c r="B24" s="22"/>
      <c r="C24" s="33"/>
      <c r="D24" s="26"/>
      <c r="E24" s="27"/>
      <c r="F24" s="28"/>
      <c r="G24" s="34"/>
      <c r="H24" s="29"/>
      <c r="I24" s="22"/>
      <c r="J24" s="7"/>
      <c r="K24" s="24" t="s">
        <v>14</v>
      </c>
      <c r="L24" s="22"/>
      <c r="M24" s="33"/>
      <c r="N24" s="26"/>
      <c r="O24" s="27"/>
      <c r="P24" s="28"/>
      <c r="Q24" s="34"/>
      <c r="R24" s="23"/>
      <c r="S24" s="22"/>
      <c r="T24" s="7"/>
      <c r="U24" s="24" t="s">
        <v>14</v>
      </c>
      <c r="V24" s="22"/>
      <c r="W24" s="33"/>
      <c r="X24" s="26"/>
      <c r="Y24" s="27"/>
      <c r="Z24" s="28"/>
      <c r="AA24" s="34"/>
      <c r="AB24" s="23"/>
      <c r="AC24" s="22"/>
      <c r="AD24" s="7"/>
    </row>
    <row r="25" ht="12.0" customHeight="1">
      <c r="A25" s="35" t="s">
        <v>38</v>
      </c>
      <c r="B25" s="36"/>
      <c r="C25" s="37">
        <v>15.0</v>
      </c>
      <c r="D25" s="38" t="s">
        <v>39</v>
      </c>
      <c r="E25" s="39"/>
      <c r="F25" s="40"/>
      <c r="G25" s="41">
        <v>3.0</v>
      </c>
      <c r="H25" s="42"/>
      <c r="I25" s="36"/>
      <c r="J25" s="7"/>
      <c r="K25" s="35" t="s">
        <v>40</v>
      </c>
      <c r="L25" s="36"/>
      <c r="M25" s="37" t="s">
        <v>41</v>
      </c>
      <c r="N25" s="38" t="s">
        <v>17</v>
      </c>
      <c r="O25" s="39"/>
      <c r="P25" s="40"/>
      <c r="Q25" s="41">
        <v>3.0</v>
      </c>
      <c r="R25" s="42"/>
      <c r="S25" s="36"/>
      <c r="T25" s="7"/>
      <c r="U25" s="21" t="s">
        <v>42</v>
      </c>
      <c r="V25" s="22"/>
      <c r="W25" s="37">
        <v>12.0</v>
      </c>
      <c r="X25" s="38" t="s">
        <v>17</v>
      </c>
      <c r="Y25" s="39"/>
      <c r="Z25" s="40"/>
      <c r="AA25" s="41">
        <v>3.0</v>
      </c>
      <c r="AB25" s="42"/>
      <c r="AC25" s="36"/>
      <c r="AD25" s="7"/>
    </row>
    <row r="26" ht="12.0" customHeight="1">
      <c r="A26" s="55" t="s">
        <v>43</v>
      </c>
      <c r="B26" s="56"/>
      <c r="C26" s="15">
        <v>8.0</v>
      </c>
      <c r="D26" s="97" t="s">
        <v>71</v>
      </c>
      <c r="E26" s="59"/>
      <c r="F26" s="60"/>
      <c r="G26" s="19">
        <v>3.0</v>
      </c>
      <c r="H26" s="57"/>
      <c r="I26" s="14"/>
      <c r="J26" s="7"/>
      <c r="K26" s="21" t="s">
        <v>44</v>
      </c>
      <c r="L26" s="22"/>
      <c r="M26" s="15">
        <v>8.0</v>
      </c>
      <c r="N26" s="58" t="s">
        <v>17</v>
      </c>
      <c r="O26" s="59"/>
      <c r="P26" s="60"/>
      <c r="Q26" s="19">
        <v>3.0</v>
      </c>
      <c r="R26" s="48"/>
      <c r="S26" s="14"/>
      <c r="T26" s="7"/>
      <c r="U26" s="13" t="s">
        <v>45</v>
      </c>
      <c r="V26" s="14"/>
      <c r="W26" s="15">
        <v>8.0</v>
      </c>
      <c r="X26" s="97" t="s">
        <v>71</v>
      </c>
      <c r="Y26" s="59"/>
      <c r="Z26" s="60"/>
      <c r="AA26" s="19">
        <v>3.0</v>
      </c>
      <c r="AB26" s="48"/>
      <c r="AC26" s="14"/>
      <c r="AD26" s="7"/>
    </row>
    <row r="27" ht="12.0" customHeight="1">
      <c r="A27" s="24" t="s">
        <v>14</v>
      </c>
      <c r="B27" s="22"/>
      <c r="C27" s="25"/>
      <c r="D27" s="26"/>
      <c r="E27" s="27"/>
      <c r="F27" s="28"/>
      <c r="G27" s="27"/>
      <c r="H27" s="61"/>
      <c r="I27" s="22"/>
      <c r="J27" s="7"/>
      <c r="K27" s="24" t="s">
        <v>14</v>
      </c>
      <c r="L27" s="22"/>
      <c r="M27" s="25"/>
      <c r="N27" s="62"/>
      <c r="O27" s="63"/>
      <c r="P27" s="64"/>
      <c r="Q27" s="27"/>
      <c r="R27" s="23"/>
      <c r="S27" s="22"/>
      <c r="T27" s="7"/>
      <c r="U27" s="24" t="s">
        <v>14</v>
      </c>
      <c r="V27" s="22"/>
      <c r="W27" s="25"/>
      <c r="X27" s="26"/>
      <c r="Y27" s="27"/>
      <c r="Z27" s="28"/>
      <c r="AA27" s="27"/>
      <c r="AB27" s="23"/>
      <c r="AC27" s="22"/>
      <c r="AD27" s="7"/>
    </row>
    <row r="28" ht="12.0" customHeight="1">
      <c r="A28" s="21" t="s">
        <v>46</v>
      </c>
      <c r="B28" s="22"/>
      <c r="C28" s="30">
        <v>8.0</v>
      </c>
      <c r="D28" s="51" t="s">
        <v>47</v>
      </c>
      <c r="E28" s="52"/>
      <c r="F28" s="53"/>
      <c r="G28" s="27">
        <v>3.0</v>
      </c>
      <c r="H28" s="23"/>
      <c r="I28" s="22"/>
      <c r="J28" s="7"/>
      <c r="K28" s="21" t="s">
        <v>48</v>
      </c>
      <c r="L28" s="22"/>
      <c r="M28" s="30">
        <v>10.0</v>
      </c>
      <c r="N28" s="100" t="s">
        <v>71</v>
      </c>
      <c r="O28" s="52"/>
      <c r="P28" s="53"/>
      <c r="Q28" s="27">
        <v>3.0</v>
      </c>
      <c r="R28" s="23"/>
      <c r="S28" s="22"/>
      <c r="T28" s="7"/>
      <c r="U28" s="21" t="s">
        <v>49</v>
      </c>
      <c r="V28" s="22"/>
      <c r="W28" s="30">
        <v>8.0</v>
      </c>
      <c r="X28" s="51" t="s">
        <v>47</v>
      </c>
      <c r="Y28" s="52"/>
      <c r="Z28" s="53"/>
      <c r="AA28" s="27">
        <v>3.0</v>
      </c>
      <c r="AB28" s="23"/>
      <c r="AC28" s="22"/>
      <c r="AD28" s="7"/>
    </row>
    <row r="29" ht="12.0" customHeight="1">
      <c r="A29" s="24" t="s">
        <v>14</v>
      </c>
      <c r="B29" s="22"/>
      <c r="C29" s="33"/>
      <c r="D29" s="26"/>
      <c r="E29" s="27"/>
      <c r="F29" s="28"/>
      <c r="G29" s="34"/>
      <c r="H29" s="23"/>
      <c r="I29" s="22"/>
      <c r="J29" s="7"/>
      <c r="K29" s="24" t="s">
        <v>14</v>
      </c>
      <c r="L29" s="22"/>
      <c r="M29" s="65"/>
      <c r="N29" s="26"/>
      <c r="O29" s="27"/>
      <c r="P29" s="28"/>
      <c r="Q29" s="34"/>
      <c r="R29" s="67"/>
      <c r="S29" s="56"/>
      <c r="T29" s="7"/>
      <c r="U29" s="24" t="s">
        <v>14</v>
      </c>
      <c r="V29" s="22"/>
      <c r="W29" s="33"/>
      <c r="X29" s="26"/>
      <c r="Y29" s="27"/>
      <c r="Z29" s="28"/>
      <c r="AA29" s="34"/>
      <c r="AB29" s="23"/>
      <c r="AC29" s="22"/>
      <c r="AD29" s="7"/>
    </row>
    <row r="30" ht="12.0" customHeight="1">
      <c r="A30" s="21" t="s">
        <v>50</v>
      </c>
      <c r="B30" s="22"/>
      <c r="C30" s="37">
        <v>8.0</v>
      </c>
      <c r="D30" s="100" t="s">
        <v>71</v>
      </c>
      <c r="E30" s="52"/>
      <c r="F30" s="53"/>
      <c r="G30" s="41">
        <v>3.0</v>
      </c>
      <c r="H30" s="70"/>
      <c r="I30" s="36"/>
      <c r="J30" s="7"/>
      <c r="K30" s="35" t="s">
        <v>51</v>
      </c>
      <c r="L30" s="36"/>
      <c r="M30" s="37">
        <v>12.0</v>
      </c>
      <c r="N30" s="100" t="s">
        <v>17</v>
      </c>
      <c r="O30" s="52"/>
      <c r="P30" s="53"/>
      <c r="Q30" s="41">
        <v>3.0</v>
      </c>
      <c r="R30" s="42"/>
      <c r="S30" s="36"/>
      <c r="T30" s="7"/>
      <c r="U30" s="21" t="s">
        <v>50</v>
      </c>
      <c r="V30" s="22"/>
      <c r="W30" s="37">
        <v>8.0</v>
      </c>
      <c r="X30" s="100" t="s">
        <v>71</v>
      </c>
      <c r="Y30" s="52"/>
      <c r="Z30" s="53"/>
      <c r="AA30" s="41">
        <v>3.0</v>
      </c>
      <c r="AB30" s="42"/>
      <c r="AC30" s="36"/>
      <c r="AD30" s="7"/>
    </row>
    <row r="31" ht="12.0" customHeight="1">
      <c r="A31" s="13"/>
      <c r="B31" s="14"/>
      <c r="C31" s="15"/>
      <c r="D31" s="16"/>
      <c r="E31" s="19"/>
      <c r="F31" s="18"/>
      <c r="G31" s="19"/>
      <c r="H31" s="57"/>
      <c r="I31" s="14"/>
      <c r="J31" s="7"/>
      <c r="K31" s="71"/>
      <c r="L31" s="14"/>
      <c r="M31" s="15"/>
      <c r="N31" s="16"/>
      <c r="O31" s="19"/>
      <c r="P31" s="18"/>
      <c r="Q31" s="19"/>
      <c r="R31" s="48"/>
      <c r="S31" s="14"/>
      <c r="T31" s="7"/>
      <c r="U31" s="72" t="s">
        <v>52</v>
      </c>
      <c r="V31" s="59"/>
      <c r="W31" s="73"/>
      <c r="X31" s="73"/>
      <c r="Y31" s="73"/>
      <c r="Z31" s="74"/>
      <c r="AA31" s="19"/>
      <c r="AB31" s="48"/>
      <c r="AC31" s="14"/>
      <c r="AD31" s="7"/>
    </row>
    <row r="32" ht="12.0" customHeight="1">
      <c r="A32" s="21"/>
      <c r="B32" s="22"/>
      <c r="C32" s="25"/>
      <c r="D32" s="26"/>
      <c r="E32" s="27"/>
      <c r="F32" s="28"/>
      <c r="G32" s="27"/>
      <c r="H32" s="23"/>
      <c r="I32" s="22"/>
      <c r="J32" s="7"/>
      <c r="K32" s="24"/>
      <c r="L32" s="22"/>
      <c r="M32" s="33"/>
      <c r="N32" s="26"/>
      <c r="O32" s="27"/>
      <c r="P32" s="28"/>
      <c r="Q32" s="34"/>
      <c r="R32" s="23"/>
      <c r="S32" s="22"/>
      <c r="T32" s="7"/>
      <c r="U32" s="21" t="s">
        <v>53</v>
      </c>
      <c r="V32" s="22"/>
      <c r="W32" s="25">
        <v>5.0</v>
      </c>
      <c r="X32" s="75">
        <f>CEILING((37.5%*(90%*(N8*45%))),5)</f>
        <v>0</v>
      </c>
      <c r="Y32" s="27" t="s">
        <v>10</v>
      </c>
      <c r="Z32" s="28">
        <f>CEILING((42.5%*(90%*(N8*45%))),5)</f>
        <v>0</v>
      </c>
      <c r="AA32" s="27">
        <v>1.0</v>
      </c>
      <c r="AB32" s="23"/>
      <c r="AC32" s="22"/>
      <c r="AD32" s="7"/>
    </row>
    <row r="33" ht="12.0" customHeight="1">
      <c r="A33" s="21"/>
      <c r="B33" s="22"/>
      <c r="C33" s="30"/>
      <c r="D33" s="26"/>
      <c r="E33" s="27"/>
      <c r="F33" s="28"/>
      <c r="G33" s="27"/>
      <c r="H33" s="23"/>
      <c r="I33" s="22"/>
      <c r="J33" s="7"/>
      <c r="K33" s="24"/>
      <c r="L33" s="22"/>
      <c r="M33" s="33"/>
      <c r="N33" s="26"/>
      <c r="O33" s="27"/>
      <c r="P33" s="28"/>
      <c r="Q33" s="34"/>
      <c r="R33" s="23"/>
      <c r="S33" s="22"/>
      <c r="T33" s="7"/>
      <c r="U33" s="76"/>
      <c r="V33" s="22"/>
      <c r="W33" s="30">
        <v>5.0</v>
      </c>
      <c r="X33" s="26">
        <f>CEILING((47.5%*(90%*(N8*45%))),5)</f>
        <v>0</v>
      </c>
      <c r="Y33" s="27" t="s">
        <v>10</v>
      </c>
      <c r="Z33" s="28">
        <f>CEILING((52.5%*(90%*(N8*45%))),5)</f>
        <v>0</v>
      </c>
      <c r="AA33" s="27">
        <v>1.0</v>
      </c>
      <c r="AB33" s="23"/>
      <c r="AC33" s="22"/>
      <c r="AD33" s="7"/>
    </row>
    <row r="34" ht="12.0" customHeight="1">
      <c r="A34" s="24"/>
      <c r="B34" s="22"/>
      <c r="C34" s="33"/>
      <c r="D34" s="26"/>
      <c r="E34" s="27"/>
      <c r="F34" s="28"/>
      <c r="G34" s="34"/>
      <c r="H34" s="23"/>
      <c r="I34" s="22"/>
      <c r="J34" s="7"/>
      <c r="K34" s="24"/>
      <c r="L34" s="22"/>
      <c r="M34" s="33"/>
      <c r="N34" s="26"/>
      <c r="O34" s="27"/>
      <c r="P34" s="28"/>
      <c r="Q34" s="34"/>
      <c r="R34" s="23"/>
      <c r="S34" s="22"/>
      <c r="T34" s="7"/>
      <c r="U34" s="24"/>
      <c r="V34" s="22"/>
      <c r="W34" s="33">
        <v>5.0</v>
      </c>
      <c r="X34" s="26">
        <f>CEILING((57.5%*(90%*(N8*45%))),5)</f>
        <v>0</v>
      </c>
      <c r="Y34" s="27" t="s">
        <v>10</v>
      </c>
      <c r="Z34" s="28">
        <f>CEILING((62.5%*(90%*(N8*45%))),5)</f>
        <v>0</v>
      </c>
      <c r="AA34" s="54">
        <v>1.0</v>
      </c>
      <c r="AB34" s="23"/>
      <c r="AC34" s="22"/>
      <c r="AD34" s="7"/>
    </row>
    <row r="35" ht="12.0" customHeight="1">
      <c r="A35" s="35"/>
      <c r="B35" s="36"/>
      <c r="C35" s="37"/>
      <c r="D35" s="68"/>
      <c r="E35" s="41"/>
      <c r="F35" s="69"/>
      <c r="G35" s="41"/>
      <c r="H35" s="42"/>
      <c r="I35" s="36"/>
      <c r="J35" s="7"/>
      <c r="K35" s="35"/>
      <c r="L35" s="36"/>
      <c r="M35" s="37"/>
      <c r="N35" s="68"/>
      <c r="O35" s="41"/>
      <c r="P35" s="69"/>
      <c r="Q35" s="41"/>
      <c r="R35" s="42"/>
      <c r="S35" s="36"/>
      <c r="T35" s="7"/>
      <c r="U35" s="35"/>
      <c r="V35" s="36"/>
      <c r="W35" s="37"/>
      <c r="X35" s="68"/>
      <c r="Y35" s="41"/>
      <c r="Z35" s="69"/>
      <c r="AA35" s="41"/>
      <c r="AB35" s="42"/>
      <c r="AC35" s="36"/>
      <c r="AD35" s="7"/>
    </row>
    <row r="36" ht="12.0" customHeight="1">
      <c r="A36" s="77" t="s">
        <v>54</v>
      </c>
      <c r="B36" s="14"/>
      <c r="C36" s="15"/>
      <c r="D36" s="16"/>
      <c r="E36" s="19"/>
      <c r="F36" s="18"/>
      <c r="G36" s="19"/>
      <c r="H36" s="57"/>
      <c r="I36" s="14"/>
      <c r="J36" s="7"/>
      <c r="K36" s="77" t="s">
        <v>54</v>
      </c>
      <c r="L36" s="14"/>
      <c r="M36" s="15"/>
      <c r="N36" s="16"/>
      <c r="O36" s="19"/>
      <c r="P36" s="18"/>
      <c r="Q36" s="19"/>
      <c r="R36" s="57"/>
      <c r="S36" s="14"/>
      <c r="T36" s="7"/>
      <c r="U36" s="77" t="s">
        <v>54</v>
      </c>
      <c r="V36" s="14"/>
      <c r="W36" s="15"/>
      <c r="X36" s="16"/>
      <c r="Y36" s="19"/>
      <c r="Z36" s="18"/>
      <c r="AA36" s="19"/>
      <c r="AB36" s="57"/>
      <c r="AC36" s="14"/>
      <c r="AD36" s="7"/>
    </row>
    <row r="37" ht="15.0" customHeight="1">
      <c r="A37" s="21" t="s">
        <v>55</v>
      </c>
      <c r="B37" s="22"/>
      <c r="C37" s="25" t="s">
        <v>56</v>
      </c>
      <c r="D37" s="26"/>
      <c r="E37" s="27"/>
      <c r="F37" s="28"/>
      <c r="G37" s="27">
        <v>1.0</v>
      </c>
      <c r="H37" s="23"/>
      <c r="I37" s="22"/>
      <c r="J37" s="7"/>
      <c r="K37" s="21" t="s">
        <v>57</v>
      </c>
      <c r="L37" s="22"/>
      <c r="M37" s="25" t="s">
        <v>56</v>
      </c>
      <c r="N37" s="26"/>
      <c r="O37" s="27"/>
      <c r="P37" s="28"/>
      <c r="Q37" s="27">
        <v>2.0</v>
      </c>
      <c r="R37" s="23"/>
      <c r="S37" s="22"/>
      <c r="T37" s="7"/>
      <c r="U37" s="21" t="s">
        <v>55</v>
      </c>
      <c r="V37" s="22"/>
      <c r="W37" s="25" t="s">
        <v>56</v>
      </c>
      <c r="X37" s="26"/>
      <c r="Y37" s="27"/>
      <c r="Z37" s="28"/>
      <c r="AA37" s="27">
        <v>1.0</v>
      </c>
      <c r="AB37" s="23"/>
      <c r="AC37" s="22"/>
      <c r="AD37" s="7"/>
    </row>
    <row r="38" ht="12.0" customHeight="1">
      <c r="A38" s="21"/>
      <c r="B38" s="22"/>
      <c r="C38" s="30"/>
      <c r="D38" s="26"/>
      <c r="E38" s="27"/>
      <c r="F38" s="28"/>
      <c r="G38" s="27"/>
      <c r="H38" s="23"/>
      <c r="I38" s="22"/>
      <c r="J38" s="7"/>
      <c r="K38" s="21"/>
      <c r="L38" s="22"/>
      <c r="M38" s="30"/>
      <c r="N38" s="26"/>
      <c r="O38" s="27"/>
      <c r="P38" s="28"/>
      <c r="Q38" s="27"/>
      <c r="R38" s="23"/>
      <c r="S38" s="22"/>
      <c r="T38" s="7"/>
      <c r="U38" s="21"/>
      <c r="V38" s="22"/>
      <c r="W38" s="30"/>
      <c r="X38" s="26"/>
      <c r="Y38" s="27"/>
      <c r="Z38" s="28"/>
      <c r="AA38" s="27"/>
      <c r="AB38" s="23"/>
      <c r="AC38" s="22"/>
      <c r="AD38" s="7"/>
    </row>
    <row r="39" ht="15.0" customHeight="1">
      <c r="A39" s="21" t="s">
        <v>58</v>
      </c>
      <c r="B39" s="22"/>
      <c r="C39" s="33" t="s">
        <v>56</v>
      </c>
      <c r="D39" s="26"/>
      <c r="E39" s="27"/>
      <c r="F39" s="28"/>
      <c r="G39" s="34">
        <v>2.0</v>
      </c>
      <c r="H39" s="23"/>
      <c r="I39" s="22"/>
      <c r="J39" s="7"/>
      <c r="K39" s="21" t="s">
        <v>58</v>
      </c>
      <c r="L39" s="22"/>
      <c r="M39" s="33" t="s">
        <v>56</v>
      </c>
      <c r="N39" s="26"/>
      <c r="O39" s="27"/>
      <c r="P39" s="28"/>
      <c r="Q39" s="34">
        <v>2.0</v>
      </c>
      <c r="R39" s="23"/>
      <c r="S39" s="22"/>
      <c r="T39" s="7"/>
      <c r="U39" s="21" t="s">
        <v>59</v>
      </c>
      <c r="V39" s="22"/>
      <c r="W39" s="33" t="s">
        <v>56</v>
      </c>
      <c r="X39" s="26"/>
      <c r="Y39" s="27"/>
      <c r="Z39" s="28"/>
      <c r="AA39" s="34">
        <v>2.0</v>
      </c>
      <c r="AB39" s="23"/>
      <c r="AC39" s="22"/>
      <c r="AD39" s="7"/>
    </row>
    <row r="40" ht="12.0" customHeight="1">
      <c r="A40" s="35"/>
      <c r="B40" s="36"/>
      <c r="C40" s="37"/>
      <c r="D40" s="68"/>
      <c r="E40" s="41"/>
      <c r="F40" s="69"/>
      <c r="G40" s="41"/>
      <c r="H40" s="42"/>
      <c r="I40" s="36"/>
      <c r="J40" s="7"/>
      <c r="K40" s="35"/>
      <c r="L40" s="36"/>
      <c r="M40" s="37"/>
      <c r="N40" s="68"/>
      <c r="O40" s="41"/>
      <c r="P40" s="69"/>
      <c r="Q40" s="41"/>
      <c r="R40" s="42"/>
      <c r="S40" s="36"/>
      <c r="T40" s="7"/>
      <c r="U40" s="35"/>
      <c r="V40" s="36"/>
      <c r="W40" s="37"/>
      <c r="X40" s="68"/>
      <c r="Y40" s="41"/>
      <c r="Z40" s="69"/>
      <c r="AA40" s="41"/>
      <c r="AB40" s="42"/>
      <c r="AC40" s="36"/>
      <c r="AD40" s="7"/>
    </row>
    <row r="41" ht="12.0" customHeight="1">
      <c r="A41" s="71"/>
      <c r="B41" s="14"/>
      <c r="C41" s="15"/>
      <c r="D41" s="16"/>
      <c r="E41" s="19"/>
      <c r="F41" s="18"/>
      <c r="G41" s="19"/>
      <c r="H41" s="48"/>
      <c r="I41" s="14"/>
      <c r="J41" s="7"/>
      <c r="K41" s="71"/>
      <c r="L41" s="14"/>
      <c r="M41" s="15"/>
      <c r="N41" s="16"/>
      <c r="O41" s="19"/>
      <c r="P41" s="18"/>
      <c r="Q41" s="19"/>
      <c r="R41" s="48"/>
      <c r="S41" s="14"/>
      <c r="T41" s="7"/>
      <c r="U41" s="71"/>
      <c r="V41" s="14"/>
      <c r="W41" s="15"/>
      <c r="X41" s="16"/>
      <c r="Y41" s="19"/>
      <c r="Z41" s="18"/>
      <c r="AA41" s="19"/>
      <c r="AB41" s="48"/>
      <c r="AC41" s="14"/>
      <c r="AD41" s="7"/>
    </row>
    <row r="42" ht="15.0" customHeight="1">
      <c r="A42" s="78"/>
      <c r="B42" s="22"/>
      <c r="C42" s="33"/>
      <c r="D42" s="79"/>
      <c r="E42" s="79"/>
      <c r="F42" s="79"/>
      <c r="G42" s="80"/>
      <c r="H42" s="81"/>
      <c r="I42" s="22"/>
      <c r="J42" s="7"/>
      <c r="K42" s="24"/>
      <c r="L42" s="22"/>
      <c r="M42" s="30"/>
      <c r="N42" s="26"/>
      <c r="O42" s="27"/>
      <c r="P42" s="28"/>
      <c r="Q42" s="27"/>
      <c r="R42" s="23"/>
      <c r="S42" s="22"/>
      <c r="T42" s="7"/>
      <c r="U42" s="24"/>
      <c r="V42" s="22"/>
      <c r="W42" s="30"/>
      <c r="X42" s="26"/>
      <c r="Y42" s="27"/>
      <c r="Z42" s="28"/>
      <c r="AA42" s="27"/>
      <c r="AB42" s="23"/>
      <c r="AC42" s="22"/>
      <c r="AD42" s="7"/>
    </row>
    <row r="43" ht="12.0" customHeight="1">
      <c r="A43" s="78"/>
      <c r="B43" s="22"/>
      <c r="C43" s="33"/>
      <c r="D43" s="82"/>
      <c r="E43" s="82"/>
      <c r="F43" s="82"/>
      <c r="G43" s="80"/>
      <c r="H43" s="83"/>
      <c r="I43" s="22"/>
      <c r="J43" s="7"/>
      <c r="K43" s="76"/>
      <c r="L43" s="22"/>
      <c r="M43" s="30"/>
      <c r="N43" s="26"/>
      <c r="O43" s="27"/>
      <c r="P43" s="28"/>
      <c r="Q43" s="27"/>
      <c r="R43" s="23"/>
      <c r="S43" s="22"/>
      <c r="T43" s="7"/>
      <c r="U43" s="76"/>
      <c r="V43" s="22"/>
      <c r="W43" s="30"/>
      <c r="X43" s="26"/>
      <c r="Y43" s="27"/>
      <c r="Z43" s="28"/>
      <c r="AA43" s="27"/>
      <c r="AB43" s="23"/>
      <c r="AC43" s="22"/>
      <c r="AD43" s="7"/>
    </row>
    <row r="44" ht="12.0" customHeight="1">
      <c r="A44" s="78"/>
      <c r="B44" s="22"/>
      <c r="C44" s="33"/>
      <c r="D44" s="26"/>
      <c r="E44" s="27"/>
      <c r="F44" s="28"/>
      <c r="G44" s="34"/>
      <c r="H44" s="23"/>
      <c r="I44" s="22"/>
      <c r="J44" s="7"/>
      <c r="K44" s="24"/>
      <c r="L44" s="22"/>
      <c r="M44" s="84"/>
      <c r="N44" s="26"/>
      <c r="O44" s="27"/>
      <c r="P44" s="28"/>
      <c r="Q44" s="54"/>
      <c r="R44" s="23"/>
      <c r="S44" s="22"/>
      <c r="T44" s="7"/>
      <c r="U44" s="24"/>
      <c r="V44" s="22"/>
      <c r="W44" s="84"/>
      <c r="X44" s="26"/>
      <c r="Y44" s="27"/>
      <c r="Z44" s="28"/>
      <c r="AA44" s="54"/>
      <c r="AB44" s="23"/>
      <c r="AC44" s="22"/>
      <c r="AD44" s="7"/>
    </row>
    <row r="45" ht="12.0" customHeight="1">
      <c r="A45" s="85"/>
      <c r="B45" s="36"/>
      <c r="C45" s="37"/>
      <c r="D45" s="68"/>
      <c r="E45" s="41"/>
      <c r="F45" s="69"/>
      <c r="G45" s="41"/>
      <c r="H45" s="42"/>
      <c r="I45" s="36"/>
      <c r="J45" s="7"/>
      <c r="K45" s="86"/>
      <c r="L45" s="36"/>
      <c r="M45" s="37"/>
      <c r="N45" s="68"/>
      <c r="O45" s="41"/>
      <c r="P45" s="69"/>
      <c r="Q45" s="41"/>
      <c r="R45" s="42"/>
      <c r="S45" s="36"/>
      <c r="T45" s="7"/>
      <c r="U45" s="87" t="s">
        <v>60</v>
      </c>
      <c r="V45" s="39"/>
      <c r="W45" s="39"/>
      <c r="X45" s="39"/>
      <c r="Y45" s="39"/>
      <c r="Z45" s="39"/>
      <c r="AA45" s="39"/>
      <c r="AB45" s="39"/>
      <c r="AC45" s="36"/>
      <c r="AD45" s="7"/>
    </row>
    <row r="46" ht="12.0" customHeight="1">
      <c r="A46" s="88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</row>
    <row r="47" ht="12.0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</row>
    <row r="48" ht="12.0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</row>
    <row r="49" ht="12.0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</row>
    <row r="50" ht="12.0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</row>
    <row r="51" ht="12.0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</row>
    <row r="52" ht="12.0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</row>
    <row r="53" ht="12.0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</row>
    <row r="54" ht="12.0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</row>
    <row r="55" ht="12.0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</row>
    <row r="56" ht="12.0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</row>
    <row r="57" ht="12.0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</row>
    <row r="58" ht="12.0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</row>
    <row r="59" ht="12.0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</row>
    <row r="60" ht="12.0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</row>
    <row r="61" ht="12.0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</row>
    <row r="62" ht="12.0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</row>
    <row r="63" ht="12.0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</row>
    <row r="64" ht="12.0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</row>
    <row r="65" ht="12.0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</row>
    <row r="66" ht="12.0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</row>
    <row r="67" ht="12.0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</row>
    <row r="68" ht="12.0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</row>
    <row r="69" ht="12.0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</row>
    <row r="70" ht="12.0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</row>
    <row r="71" ht="12.0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</row>
    <row r="72" ht="12.0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</row>
    <row r="73" ht="12.0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</row>
    <row r="74" ht="12.0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</row>
    <row r="75" ht="12.0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</row>
    <row r="76" ht="12.0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</row>
    <row r="77" ht="12.0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</row>
    <row r="78" ht="12.0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</row>
    <row r="79" ht="12.0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</row>
    <row r="80" ht="12.0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</row>
    <row r="81" ht="12.0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</row>
    <row r="82" ht="12.0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</row>
    <row r="83" ht="12.0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</row>
    <row r="84" ht="12.0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</row>
    <row r="85" ht="12.0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</row>
    <row r="86" ht="12.0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</row>
    <row r="87" ht="12.0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</row>
    <row r="88" ht="12.0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</row>
    <row r="89" ht="12.0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</row>
    <row r="90" ht="12.0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</row>
    <row r="91" ht="12.0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</row>
    <row r="92" ht="12.0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</row>
    <row r="93" ht="12.0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</row>
    <row r="94" ht="12.0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</row>
    <row r="95" ht="12.0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</row>
    <row r="96" ht="12.0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</row>
    <row r="97" ht="12.0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</row>
    <row r="98" ht="12.0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</row>
    <row r="99" ht="12.0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</row>
    <row r="100" ht="12.0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</row>
    <row r="101" ht="12.0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</row>
    <row r="102" ht="12.0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</row>
    <row r="103" ht="12.0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</row>
    <row r="104" ht="12.0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</row>
    <row r="105" ht="12.0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</row>
    <row r="106" ht="12.0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</row>
    <row r="107" ht="12.0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</row>
    <row r="108" ht="12.0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</row>
    <row r="109" ht="12.0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</row>
    <row r="110" ht="12.0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</row>
    <row r="111" ht="12.0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</row>
    <row r="112" ht="12.0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</row>
    <row r="113" ht="12.0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</row>
    <row r="114" ht="12.0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</row>
    <row r="115" ht="12.0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</row>
    <row r="116" ht="12.0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</row>
    <row r="117" ht="12.0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</row>
    <row r="118" ht="12.0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</row>
    <row r="119" ht="12.0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</row>
    <row r="120" ht="12.0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</row>
    <row r="121" ht="12.0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</row>
    <row r="122" ht="12.0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</row>
    <row r="123" ht="12.0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</row>
    <row r="124" ht="12.0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</row>
    <row r="125" ht="12.0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</row>
    <row r="126" ht="12.0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</row>
    <row r="127" ht="12.0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</row>
    <row r="128" ht="12.0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</row>
    <row r="129" ht="12.0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</row>
    <row r="130" ht="12.0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</row>
    <row r="131" ht="12.0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</row>
    <row r="132" ht="12.0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</row>
    <row r="133" ht="12.0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</row>
    <row r="134" ht="12.0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</row>
    <row r="135" ht="12.0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</row>
    <row r="136" ht="12.0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</row>
    <row r="137" ht="12.0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</row>
    <row r="138" ht="12.0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</row>
    <row r="139" ht="12.0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</row>
    <row r="140" ht="12.0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</row>
    <row r="141" ht="12.0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</row>
    <row r="142" ht="12.0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</row>
    <row r="143" ht="12.0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</row>
    <row r="144" ht="12.0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</row>
    <row r="145" ht="12.0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</row>
    <row r="146" ht="12.0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</row>
    <row r="147" ht="12.0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</row>
    <row r="148" ht="12.0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</row>
    <row r="149" ht="12.0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</row>
    <row r="150" ht="12.0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</row>
    <row r="151" ht="12.0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</row>
    <row r="152" ht="12.0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</row>
    <row r="153" ht="12.0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</row>
    <row r="154" ht="12.0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</row>
    <row r="155" ht="12.0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</row>
    <row r="156" ht="12.0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</row>
    <row r="157" ht="12.0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</row>
    <row r="158" ht="12.0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</row>
    <row r="159" ht="12.0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</row>
    <row r="160" ht="12.0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</row>
    <row r="161" ht="12.0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</row>
    <row r="162" ht="12.0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</row>
    <row r="163" ht="12.0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</row>
    <row r="164" ht="12.0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</row>
    <row r="165" ht="12.0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</row>
    <row r="166" ht="12.0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</row>
    <row r="167" ht="12.0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</row>
    <row r="168" ht="12.0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</row>
    <row r="169" ht="12.0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</row>
    <row r="170" ht="12.0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</row>
    <row r="171" ht="12.0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</row>
    <row r="172" ht="12.0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</row>
    <row r="173" ht="12.0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</row>
    <row r="174" ht="12.0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</row>
    <row r="175" ht="12.0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</row>
    <row r="176" ht="12.0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</row>
    <row r="177" ht="12.0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</row>
    <row r="178" ht="12.0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</row>
    <row r="179" ht="12.0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</row>
    <row r="180" ht="12.0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</row>
    <row r="181" ht="12.0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</row>
    <row r="182" ht="12.0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</row>
    <row r="183" ht="12.0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</row>
    <row r="184" ht="12.0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</row>
    <row r="185" ht="12.0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</row>
    <row r="186" ht="12.0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</row>
    <row r="187" ht="12.0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</row>
    <row r="188" ht="12.0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</row>
    <row r="189" ht="12.0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</row>
    <row r="190" ht="12.0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</row>
    <row r="191" ht="12.0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</row>
    <row r="192" ht="12.0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</row>
    <row r="193" ht="12.0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</row>
    <row r="194" ht="12.0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</row>
    <row r="195" ht="12.0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</row>
    <row r="196" ht="12.0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</row>
    <row r="197" ht="12.0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</row>
    <row r="198" ht="12.0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</row>
    <row r="199" ht="12.0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</row>
    <row r="200" ht="12.0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</row>
    <row r="201" ht="12.0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</row>
    <row r="202" ht="12.0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</row>
    <row r="203" ht="12.0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</row>
    <row r="204" ht="12.0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</row>
    <row r="205" ht="12.0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</row>
    <row r="206" ht="12.0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</row>
    <row r="207" ht="12.0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</row>
    <row r="208" ht="12.0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</row>
    <row r="209" ht="12.0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</row>
    <row r="210" ht="12.0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</row>
    <row r="211" ht="12.0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</row>
    <row r="212" ht="12.0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</row>
    <row r="213" ht="12.0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</row>
    <row r="214" ht="12.0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</row>
    <row r="215" ht="12.0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</row>
    <row r="216" ht="12.0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</row>
    <row r="217" ht="12.0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</row>
    <row r="218" ht="12.0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</row>
    <row r="219" ht="12.0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</row>
    <row r="220" ht="12.0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</row>
    <row r="221" ht="12.0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</row>
    <row r="222" ht="12.0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</row>
    <row r="223" ht="12.0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</row>
    <row r="224" ht="12.0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</row>
    <row r="225" ht="12.0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</row>
    <row r="226" ht="12.0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</row>
    <row r="227" ht="12.0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</row>
    <row r="228" ht="12.0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</row>
    <row r="229" ht="12.0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</row>
    <row r="230" ht="12.0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</row>
    <row r="231" ht="12.0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</row>
    <row r="232" ht="12.0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</row>
    <row r="233" ht="12.0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</row>
    <row r="234" ht="12.0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</row>
    <row r="235" ht="12.0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</row>
    <row r="236" ht="12.0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</row>
    <row r="237" ht="12.0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</row>
    <row r="238" ht="12.0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</row>
    <row r="239" ht="12.0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</row>
    <row r="240" ht="12.0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</row>
    <row r="241" ht="12.0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</row>
    <row r="242" ht="12.0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</row>
    <row r="243" ht="12.0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</row>
    <row r="244" ht="12.0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</row>
    <row r="245" ht="12.0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</row>
    <row r="246" ht="12.0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</row>
    <row r="247" ht="12.0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</row>
    <row r="248" ht="12.0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</row>
    <row r="249" ht="12.0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</row>
    <row r="250" ht="12.0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</row>
    <row r="251" ht="12.0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</row>
    <row r="252" ht="12.0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</row>
    <row r="253" ht="12.0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</row>
    <row r="254" ht="12.0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</row>
    <row r="255" ht="12.0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</row>
    <row r="256" ht="12.0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</row>
    <row r="257" ht="12.0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</row>
    <row r="258" ht="12.0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</row>
    <row r="259" ht="12.0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</row>
    <row r="260" ht="12.0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</row>
    <row r="261" ht="12.0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</row>
    <row r="262" ht="12.0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</row>
    <row r="263" ht="12.0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</row>
    <row r="264" ht="12.0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</row>
    <row r="265" ht="12.0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</row>
    <row r="266" ht="12.0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</row>
    <row r="267" ht="12.0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</row>
    <row r="268" ht="12.0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</row>
    <row r="269" ht="12.0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</row>
    <row r="270" ht="12.0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</row>
    <row r="271" ht="12.0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</row>
    <row r="272" ht="12.0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</row>
    <row r="273" ht="12.0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</row>
    <row r="274" ht="12.0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</row>
    <row r="275" ht="12.0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</row>
    <row r="276" ht="12.0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</row>
    <row r="277" ht="12.0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</row>
    <row r="278" ht="12.0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</row>
    <row r="279" ht="12.0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</row>
    <row r="280" ht="12.0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</row>
    <row r="281" ht="12.0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</row>
    <row r="282" ht="12.0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</row>
    <row r="283" ht="12.0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</row>
    <row r="284" ht="12.0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</row>
    <row r="285" ht="12.0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</row>
    <row r="286" ht="12.0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</row>
    <row r="287" ht="12.0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</row>
    <row r="288" ht="12.0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</row>
    <row r="289" ht="12.0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</row>
    <row r="290" ht="12.0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</row>
    <row r="291" ht="12.0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</row>
    <row r="292" ht="12.0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</row>
    <row r="293" ht="12.0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</row>
    <row r="294" ht="12.0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</row>
    <row r="295" ht="12.0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</row>
    <row r="296" ht="12.0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</row>
    <row r="297" ht="12.0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</row>
    <row r="298" ht="12.0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</row>
    <row r="299" ht="12.0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</row>
    <row r="300" ht="12.0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</row>
    <row r="301" ht="12.0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</row>
    <row r="302" ht="12.0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</row>
    <row r="303" ht="12.0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</row>
    <row r="304" ht="12.0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</row>
    <row r="305" ht="12.0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</row>
    <row r="306" ht="12.0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</row>
    <row r="307" ht="12.0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</row>
    <row r="308" ht="12.0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</row>
    <row r="309" ht="12.0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</row>
    <row r="310" ht="12.0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</row>
    <row r="311" ht="12.0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</row>
    <row r="312" ht="12.0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</row>
    <row r="313" ht="12.0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</row>
    <row r="314" ht="12.0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</row>
    <row r="315" ht="12.0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</row>
    <row r="316" ht="12.0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</row>
    <row r="317" ht="12.0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</row>
    <row r="318" ht="12.0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</row>
    <row r="319" ht="12.0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</row>
    <row r="320" ht="12.0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</row>
    <row r="321" ht="12.0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</row>
    <row r="322" ht="12.0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</row>
    <row r="323" ht="12.0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</row>
    <row r="324" ht="12.0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</row>
    <row r="325" ht="12.0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</row>
    <row r="326" ht="12.0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</row>
    <row r="327" ht="12.0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</row>
    <row r="328" ht="12.0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</row>
    <row r="329" ht="12.0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</row>
    <row r="330" ht="12.0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</row>
    <row r="331" ht="12.0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</row>
    <row r="332" ht="12.0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</row>
    <row r="333" ht="12.0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</row>
    <row r="334" ht="12.0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</row>
    <row r="335" ht="12.0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</row>
    <row r="336" ht="12.0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</row>
    <row r="337" ht="12.0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</row>
    <row r="338" ht="12.0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</row>
    <row r="339" ht="12.0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</row>
    <row r="340" ht="12.0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</row>
    <row r="341" ht="12.0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</row>
    <row r="342" ht="12.0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</row>
    <row r="343" ht="12.0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</row>
    <row r="344" ht="12.0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</row>
    <row r="345" ht="12.0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</row>
    <row r="346" ht="12.0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</row>
    <row r="347" ht="12.0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</row>
    <row r="348" ht="12.0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</row>
    <row r="349" ht="12.0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</row>
    <row r="350" ht="12.0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</row>
    <row r="351" ht="12.0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</row>
    <row r="352" ht="12.0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</row>
    <row r="353" ht="12.0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</row>
    <row r="354" ht="12.0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</row>
    <row r="355" ht="12.0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</row>
    <row r="356" ht="12.0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</row>
    <row r="357" ht="12.0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</row>
    <row r="358" ht="12.0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</row>
    <row r="359" ht="12.0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</row>
    <row r="360" ht="12.0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</row>
    <row r="361" ht="12.0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</row>
    <row r="362" ht="12.0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</row>
    <row r="363" ht="12.0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</row>
    <row r="364" ht="12.0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</row>
    <row r="365" ht="12.0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</row>
    <row r="366" ht="12.0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</row>
    <row r="367" ht="12.0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</row>
    <row r="368" ht="12.0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</row>
    <row r="369" ht="12.0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</row>
    <row r="370" ht="12.0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</row>
    <row r="371" ht="12.0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</row>
    <row r="372" ht="12.0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</row>
    <row r="373" ht="12.0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</row>
    <row r="374" ht="12.0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</row>
    <row r="375" ht="12.0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</row>
    <row r="376" ht="12.0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</row>
    <row r="377" ht="12.0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</row>
    <row r="378" ht="12.0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</row>
    <row r="379" ht="12.0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</row>
    <row r="380" ht="12.0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</row>
    <row r="381" ht="12.0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</row>
    <row r="382" ht="12.0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</row>
    <row r="383" ht="12.0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</row>
    <row r="384" ht="12.0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</row>
    <row r="385" ht="12.0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</row>
    <row r="386" ht="12.0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</row>
    <row r="387" ht="12.0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</row>
    <row r="388" ht="12.0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</row>
    <row r="389" ht="12.0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</row>
    <row r="390" ht="12.0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</row>
    <row r="391" ht="12.0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</row>
    <row r="392" ht="12.0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</row>
    <row r="393" ht="12.0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</row>
    <row r="394" ht="12.0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</row>
    <row r="395" ht="12.0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</row>
    <row r="396" ht="12.0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</row>
    <row r="397" ht="12.0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</row>
    <row r="398" ht="12.0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</row>
    <row r="399" ht="12.0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</row>
    <row r="400" ht="12.0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</row>
    <row r="401" ht="12.0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</row>
    <row r="402" ht="12.0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</row>
    <row r="403" ht="12.0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</row>
    <row r="404" ht="12.0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</row>
    <row r="405" ht="12.0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</row>
    <row r="406" ht="12.0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</row>
    <row r="407" ht="12.0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</row>
    <row r="408" ht="12.0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</row>
    <row r="409" ht="12.0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</row>
    <row r="410" ht="12.0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</row>
    <row r="411" ht="12.0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</row>
    <row r="412" ht="12.0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</row>
    <row r="413" ht="12.0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</row>
    <row r="414" ht="12.0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</row>
    <row r="415" ht="12.0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</row>
    <row r="416" ht="12.0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</row>
    <row r="417" ht="12.0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</row>
    <row r="418" ht="12.0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</row>
    <row r="419" ht="12.0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</row>
    <row r="420" ht="12.0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</row>
    <row r="421" ht="12.0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</row>
    <row r="422" ht="12.0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</row>
    <row r="423" ht="12.0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</row>
    <row r="424" ht="12.0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</row>
    <row r="425" ht="12.0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</row>
    <row r="426" ht="12.0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</row>
    <row r="427" ht="12.0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</row>
    <row r="428" ht="12.0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</row>
    <row r="429" ht="12.0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</row>
    <row r="430" ht="12.0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</row>
    <row r="431" ht="12.0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</row>
    <row r="432" ht="12.0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</row>
    <row r="433" ht="12.0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</row>
    <row r="434" ht="12.0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</row>
    <row r="435" ht="12.0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</row>
    <row r="436" ht="12.0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</row>
    <row r="437" ht="12.0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</row>
    <row r="438" ht="12.0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</row>
    <row r="439" ht="12.0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</row>
    <row r="440" ht="12.0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</row>
    <row r="441" ht="12.0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</row>
    <row r="442" ht="12.0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</row>
    <row r="443" ht="12.0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</row>
    <row r="444" ht="12.0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</row>
    <row r="445" ht="12.0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</row>
    <row r="446" ht="12.0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</row>
    <row r="447" ht="12.0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</row>
    <row r="448" ht="12.0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</row>
    <row r="449" ht="12.0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</row>
    <row r="450" ht="12.0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</row>
    <row r="451" ht="12.0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</row>
    <row r="452" ht="12.0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</row>
    <row r="453" ht="12.0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</row>
    <row r="454" ht="12.0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</row>
    <row r="455" ht="12.0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</row>
    <row r="456" ht="12.0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</row>
    <row r="457" ht="12.0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</row>
    <row r="458" ht="12.0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</row>
    <row r="459" ht="12.0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</row>
    <row r="460" ht="12.0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</row>
    <row r="461" ht="12.0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</row>
    <row r="462" ht="12.0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</row>
    <row r="463" ht="12.0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</row>
    <row r="464" ht="12.0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</row>
    <row r="465" ht="12.0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</row>
    <row r="466" ht="12.0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</row>
    <row r="467" ht="12.0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</row>
    <row r="468" ht="12.0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</row>
    <row r="469" ht="12.0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</row>
    <row r="470" ht="12.0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</row>
    <row r="471" ht="12.0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</row>
    <row r="472" ht="12.0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</row>
    <row r="473" ht="12.0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</row>
    <row r="474" ht="12.0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</row>
    <row r="475" ht="12.0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</row>
    <row r="476" ht="12.0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</row>
    <row r="477" ht="12.0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</row>
    <row r="478" ht="12.0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</row>
    <row r="479" ht="12.0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</row>
    <row r="480" ht="12.0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</row>
    <row r="481" ht="12.0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</row>
    <row r="482" ht="12.0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</row>
    <row r="483" ht="12.0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</row>
    <row r="484" ht="12.0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</row>
    <row r="485" ht="12.0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</row>
    <row r="486" ht="12.0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</row>
    <row r="487" ht="12.0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</row>
    <row r="488" ht="12.0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</row>
    <row r="489" ht="12.0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</row>
    <row r="490" ht="12.0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</row>
    <row r="491" ht="12.0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</row>
    <row r="492" ht="12.0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</row>
    <row r="493" ht="12.0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</row>
    <row r="494" ht="12.0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</row>
    <row r="495" ht="12.0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</row>
    <row r="496" ht="12.0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</row>
    <row r="497" ht="12.0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</row>
    <row r="498" ht="12.0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</row>
    <row r="499" ht="12.0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</row>
    <row r="500" ht="12.0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</row>
    <row r="501" ht="12.0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</row>
    <row r="502" ht="12.0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</row>
    <row r="503" ht="12.0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</row>
    <row r="504" ht="12.0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</row>
    <row r="505" ht="12.0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</row>
    <row r="506" ht="12.0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</row>
    <row r="507" ht="12.0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</row>
    <row r="508" ht="12.0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</row>
    <row r="509" ht="12.0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</row>
    <row r="510" ht="12.0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</row>
    <row r="511" ht="12.0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</row>
    <row r="512" ht="12.0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</row>
    <row r="513" ht="12.0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</row>
    <row r="514" ht="12.0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</row>
    <row r="515" ht="12.0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</row>
    <row r="516" ht="12.0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</row>
    <row r="517" ht="12.0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</row>
    <row r="518" ht="12.0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</row>
    <row r="519" ht="12.0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</row>
    <row r="520" ht="12.0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</row>
    <row r="521" ht="12.0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</row>
    <row r="522" ht="12.0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</row>
    <row r="523" ht="12.0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</row>
    <row r="524" ht="12.0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</row>
    <row r="525" ht="12.0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</row>
    <row r="526" ht="12.0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</row>
    <row r="527" ht="12.0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</row>
    <row r="528" ht="12.0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</row>
    <row r="529" ht="12.0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</row>
    <row r="530" ht="12.0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</row>
    <row r="531" ht="12.0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</row>
    <row r="532" ht="12.0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</row>
    <row r="533" ht="12.0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</row>
    <row r="534" ht="12.0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</row>
    <row r="535" ht="12.0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</row>
    <row r="536" ht="12.0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</row>
    <row r="537" ht="12.0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</row>
    <row r="538" ht="12.0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</row>
    <row r="539" ht="12.0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</row>
    <row r="540" ht="12.0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</row>
    <row r="541" ht="12.0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</row>
    <row r="542" ht="12.0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</row>
    <row r="543" ht="12.0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</row>
    <row r="544" ht="12.0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</row>
    <row r="545" ht="12.0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</row>
    <row r="546" ht="12.0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</row>
    <row r="547" ht="12.0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</row>
    <row r="548" ht="12.0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</row>
    <row r="549" ht="12.0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</row>
    <row r="550" ht="12.0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</row>
    <row r="551" ht="12.0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</row>
    <row r="552" ht="12.0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</row>
    <row r="553" ht="12.0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</row>
    <row r="554" ht="12.0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</row>
    <row r="555" ht="12.0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</row>
    <row r="556" ht="12.0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</row>
    <row r="557" ht="12.0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</row>
    <row r="558" ht="12.0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</row>
    <row r="559" ht="12.0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</row>
    <row r="560" ht="12.0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</row>
    <row r="561" ht="12.0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</row>
    <row r="562" ht="12.0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</row>
    <row r="563" ht="12.0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</row>
    <row r="564" ht="12.0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</row>
    <row r="565" ht="12.0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</row>
    <row r="566" ht="12.0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</row>
    <row r="567" ht="12.0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</row>
    <row r="568" ht="12.0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</row>
    <row r="569" ht="12.0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</row>
    <row r="570" ht="12.0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</row>
    <row r="571" ht="12.0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</row>
    <row r="572" ht="12.0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</row>
    <row r="573" ht="12.0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</row>
    <row r="574" ht="12.0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</row>
    <row r="575" ht="12.0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</row>
    <row r="576" ht="12.0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</row>
    <row r="577" ht="12.0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</row>
    <row r="578" ht="12.0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</row>
    <row r="579" ht="12.0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</row>
    <row r="580" ht="12.0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</row>
    <row r="581" ht="12.0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</row>
    <row r="582" ht="12.0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</row>
    <row r="583" ht="12.0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</row>
    <row r="584" ht="12.0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</row>
    <row r="585" ht="12.0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</row>
    <row r="586" ht="12.0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</row>
    <row r="587" ht="12.0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</row>
    <row r="588" ht="12.0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</row>
    <row r="589" ht="12.0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</row>
    <row r="590" ht="12.0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</row>
    <row r="591" ht="12.0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</row>
    <row r="592" ht="12.0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</row>
    <row r="593" ht="12.0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</row>
    <row r="594" ht="12.0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</row>
    <row r="595" ht="12.0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</row>
    <row r="596" ht="12.0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</row>
    <row r="597" ht="12.0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</row>
    <row r="598" ht="12.0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</row>
    <row r="599" ht="12.0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</row>
    <row r="600" ht="12.0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</row>
    <row r="601" ht="12.0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</row>
    <row r="602" ht="12.0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</row>
    <row r="603" ht="12.0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</row>
    <row r="604" ht="12.0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</row>
    <row r="605" ht="12.0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</row>
    <row r="606" ht="12.0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</row>
    <row r="607" ht="12.0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</row>
    <row r="608" ht="12.0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</row>
    <row r="609" ht="12.0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</row>
    <row r="610" ht="12.0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</row>
    <row r="611" ht="12.0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</row>
    <row r="612" ht="12.0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</row>
    <row r="613" ht="12.0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</row>
    <row r="614" ht="12.0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</row>
    <row r="615" ht="12.0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</row>
    <row r="616" ht="12.0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</row>
    <row r="617" ht="12.0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</row>
    <row r="618" ht="12.0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</row>
    <row r="619" ht="12.0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</row>
    <row r="620" ht="12.0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</row>
    <row r="621" ht="12.0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</row>
    <row r="622" ht="12.0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</row>
    <row r="623" ht="12.0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</row>
    <row r="624" ht="12.0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</row>
    <row r="625" ht="12.0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</row>
    <row r="626" ht="12.0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</row>
    <row r="627" ht="12.0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</row>
    <row r="628" ht="12.0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</row>
    <row r="629" ht="12.0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</row>
    <row r="630" ht="12.0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</row>
    <row r="631" ht="12.0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</row>
    <row r="632" ht="12.0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</row>
    <row r="633" ht="12.0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</row>
    <row r="634" ht="12.0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</row>
    <row r="635" ht="12.0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</row>
    <row r="636" ht="12.0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</row>
    <row r="637" ht="12.0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</row>
    <row r="638" ht="12.0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</row>
    <row r="639" ht="12.0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</row>
    <row r="640" ht="12.0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</row>
    <row r="641" ht="12.0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</row>
    <row r="642" ht="12.0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</row>
    <row r="643" ht="12.0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</row>
    <row r="644" ht="12.0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</row>
    <row r="645" ht="12.0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</row>
    <row r="646" ht="12.0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</row>
    <row r="647" ht="12.0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</row>
    <row r="648" ht="12.0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</row>
    <row r="649" ht="12.0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</row>
    <row r="650" ht="12.0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</row>
    <row r="651" ht="12.0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</row>
    <row r="652" ht="12.0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</row>
    <row r="653" ht="12.0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</row>
    <row r="654" ht="12.0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</row>
    <row r="655" ht="12.0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</row>
    <row r="656" ht="12.0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</row>
    <row r="657" ht="12.0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</row>
    <row r="658" ht="12.0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</row>
    <row r="659" ht="12.0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</row>
    <row r="660" ht="12.0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</row>
    <row r="661" ht="12.0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</row>
    <row r="662" ht="12.0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</row>
    <row r="663" ht="12.0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</row>
    <row r="664" ht="12.0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</row>
    <row r="665" ht="12.0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</row>
    <row r="666" ht="12.0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</row>
    <row r="667" ht="12.0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</row>
    <row r="668" ht="12.0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</row>
    <row r="669" ht="12.0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</row>
    <row r="670" ht="12.0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</row>
    <row r="671" ht="12.0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</row>
    <row r="672" ht="12.0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</row>
    <row r="673" ht="12.0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</row>
    <row r="674" ht="12.0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</row>
    <row r="675" ht="12.0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</row>
    <row r="676" ht="12.0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</row>
    <row r="677" ht="12.0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</row>
    <row r="678" ht="12.0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</row>
    <row r="679" ht="12.0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</row>
    <row r="680" ht="12.0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</row>
    <row r="681" ht="12.0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</row>
    <row r="682" ht="12.0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</row>
    <row r="683" ht="12.0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</row>
    <row r="684" ht="12.0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</row>
    <row r="685" ht="12.0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</row>
    <row r="686" ht="12.0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</row>
    <row r="687" ht="12.0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</row>
    <row r="688" ht="12.0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</row>
    <row r="689" ht="12.0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</row>
    <row r="690" ht="12.0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</row>
    <row r="691" ht="12.0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</row>
    <row r="692" ht="12.0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</row>
    <row r="693" ht="12.0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</row>
    <row r="694" ht="12.0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</row>
    <row r="695" ht="12.0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</row>
    <row r="696" ht="12.0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</row>
    <row r="697" ht="12.0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</row>
    <row r="698" ht="12.0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</row>
    <row r="699" ht="12.0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</row>
    <row r="700" ht="12.0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</row>
    <row r="701" ht="12.0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</row>
    <row r="702" ht="12.0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</row>
    <row r="703" ht="12.0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</row>
    <row r="704" ht="12.0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</row>
    <row r="705" ht="12.0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</row>
    <row r="706" ht="12.0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</row>
    <row r="707" ht="12.0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</row>
    <row r="708" ht="12.0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</row>
    <row r="709" ht="12.0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</row>
    <row r="710" ht="12.0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</row>
    <row r="711" ht="12.0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</row>
    <row r="712" ht="12.0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</row>
    <row r="713" ht="12.0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</row>
    <row r="714" ht="12.0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</row>
    <row r="715" ht="12.0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</row>
    <row r="716" ht="12.0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</row>
    <row r="717" ht="12.0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</row>
    <row r="718" ht="12.0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</row>
    <row r="719" ht="12.0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</row>
    <row r="720" ht="12.0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</row>
    <row r="721" ht="12.0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</row>
    <row r="722" ht="12.0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</row>
    <row r="723" ht="12.0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</row>
    <row r="724" ht="12.0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</row>
    <row r="725" ht="12.0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</row>
    <row r="726" ht="12.0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</row>
    <row r="727" ht="12.0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</row>
    <row r="728" ht="12.0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</row>
    <row r="729" ht="12.0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</row>
    <row r="730" ht="12.0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</row>
    <row r="731" ht="12.0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</row>
    <row r="732" ht="12.0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</row>
    <row r="733" ht="12.0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</row>
    <row r="734" ht="12.0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</row>
    <row r="735" ht="12.0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</row>
    <row r="736" ht="12.0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</row>
    <row r="737" ht="12.0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</row>
    <row r="738" ht="12.0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</row>
    <row r="739" ht="12.0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</row>
    <row r="740" ht="12.0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</row>
    <row r="741" ht="12.0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</row>
    <row r="742" ht="12.0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</row>
    <row r="743" ht="12.0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</row>
    <row r="744" ht="12.0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</row>
    <row r="745" ht="12.0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</row>
    <row r="746" ht="12.0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</row>
    <row r="747" ht="12.0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</row>
    <row r="748" ht="12.0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</row>
    <row r="749" ht="12.0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</row>
    <row r="750" ht="12.0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</row>
    <row r="751" ht="12.0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</row>
    <row r="752" ht="12.0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</row>
    <row r="753" ht="12.0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</row>
    <row r="754" ht="12.0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</row>
    <row r="755" ht="12.0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</row>
    <row r="756" ht="12.0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</row>
    <row r="757" ht="12.0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</row>
    <row r="758" ht="12.0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</row>
    <row r="759" ht="12.0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</row>
    <row r="760" ht="12.0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</row>
    <row r="761" ht="12.0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</row>
    <row r="762" ht="12.0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</row>
    <row r="763" ht="12.0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</row>
    <row r="764" ht="12.0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</row>
    <row r="765" ht="12.0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</row>
    <row r="766" ht="12.0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</row>
    <row r="767" ht="12.0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</row>
    <row r="768" ht="12.0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</row>
    <row r="769" ht="12.0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</row>
    <row r="770" ht="12.0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</row>
    <row r="771" ht="12.0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</row>
    <row r="772" ht="12.0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</row>
    <row r="773" ht="12.0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</row>
    <row r="774" ht="12.0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</row>
    <row r="775" ht="12.0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</row>
    <row r="776" ht="12.0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</row>
    <row r="777" ht="12.0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</row>
    <row r="778" ht="12.0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</row>
    <row r="779" ht="12.0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</row>
    <row r="780" ht="12.0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</row>
    <row r="781" ht="12.0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</row>
    <row r="782" ht="12.0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</row>
    <row r="783" ht="12.0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</row>
    <row r="784" ht="12.0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</row>
    <row r="785" ht="12.0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</row>
    <row r="786" ht="12.0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</row>
    <row r="787" ht="12.0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</row>
    <row r="788" ht="12.0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</row>
    <row r="789" ht="12.0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</row>
    <row r="790" ht="12.0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</row>
    <row r="791" ht="12.0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</row>
    <row r="792" ht="12.0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</row>
    <row r="793" ht="12.0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</row>
    <row r="794" ht="12.0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</row>
    <row r="795" ht="12.0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</row>
    <row r="796" ht="12.0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</row>
    <row r="797" ht="12.0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</row>
    <row r="798" ht="12.0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</row>
    <row r="799" ht="12.0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</row>
    <row r="800" ht="12.0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</row>
    <row r="801" ht="12.0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</row>
    <row r="802" ht="12.0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</row>
    <row r="803" ht="12.0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</row>
    <row r="804" ht="12.0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</row>
    <row r="805" ht="12.0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</row>
    <row r="806" ht="12.0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</row>
    <row r="807" ht="12.0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</row>
    <row r="808" ht="12.0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</row>
    <row r="809" ht="12.0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</row>
    <row r="810" ht="12.0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</row>
    <row r="811" ht="12.0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</row>
    <row r="812" ht="12.0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</row>
    <row r="813" ht="12.0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</row>
    <row r="814" ht="12.0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</row>
    <row r="815" ht="12.0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</row>
    <row r="816" ht="12.0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</row>
    <row r="817" ht="12.0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</row>
    <row r="818" ht="12.0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</row>
    <row r="819" ht="12.0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</row>
    <row r="820" ht="12.0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</row>
    <row r="821" ht="12.0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</row>
    <row r="822" ht="12.0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</row>
    <row r="823" ht="12.0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</row>
    <row r="824" ht="12.0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</row>
    <row r="825" ht="12.0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</row>
    <row r="826" ht="12.0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</row>
    <row r="827" ht="12.0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</row>
    <row r="828" ht="12.0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</row>
    <row r="829" ht="12.0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</row>
    <row r="830" ht="12.0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</row>
    <row r="831" ht="12.0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</row>
    <row r="832" ht="12.0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</row>
    <row r="833" ht="12.0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</row>
    <row r="834" ht="12.0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</row>
    <row r="835" ht="12.0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</row>
    <row r="836" ht="12.0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</row>
    <row r="837" ht="12.0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</row>
    <row r="838" ht="12.0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</row>
    <row r="839" ht="12.0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</row>
    <row r="840" ht="12.0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</row>
    <row r="841" ht="12.0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</row>
    <row r="842" ht="12.0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</row>
    <row r="843" ht="12.0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</row>
    <row r="844" ht="12.0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</row>
    <row r="845" ht="12.0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</row>
    <row r="846" ht="12.0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</row>
    <row r="847" ht="12.0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</row>
    <row r="848" ht="12.0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</row>
    <row r="849" ht="12.0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</row>
    <row r="850" ht="12.0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</row>
    <row r="851" ht="12.0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</row>
    <row r="852" ht="12.0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</row>
    <row r="853" ht="12.0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</row>
    <row r="854" ht="12.0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</row>
    <row r="855" ht="12.0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</row>
    <row r="856" ht="12.0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</row>
    <row r="857" ht="12.0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</row>
    <row r="858" ht="12.0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</row>
    <row r="859" ht="12.0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</row>
    <row r="860" ht="12.0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</row>
    <row r="861" ht="12.0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</row>
    <row r="862" ht="12.0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</row>
    <row r="863" ht="12.0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</row>
    <row r="864" ht="12.0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</row>
    <row r="865" ht="12.0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</row>
    <row r="866" ht="12.0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</row>
    <row r="867" ht="12.0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</row>
    <row r="868" ht="12.0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</row>
    <row r="869" ht="12.0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</row>
    <row r="870" ht="12.0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</row>
    <row r="871" ht="12.0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</row>
    <row r="872" ht="12.0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</row>
    <row r="873" ht="12.0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</row>
    <row r="874" ht="12.0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</row>
    <row r="875" ht="12.0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</row>
    <row r="876" ht="12.0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</row>
    <row r="877" ht="12.0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</row>
    <row r="878" ht="12.0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</row>
    <row r="879" ht="12.0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</row>
    <row r="880" ht="12.0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</row>
    <row r="881" ht="12.0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</row>
    <row r="882" ht="12.0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</row>
    <row r="883" ht="12.0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</row>
    <row r="884" ht="12.0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</row>
    <row r="885" ht="12.0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</row>
    <row r="886" ht="12.0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</row>
    <row r="887" ht="12.0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</row>
    <row r="888" ht="12.0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</row>
    <row r="889" ht="12.0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</row>
    <row r="890" ht="12.0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</row>
    <row r="891" ht="12.0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</row>
    <row r="892" ht="12.0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</row>
    <row r="893" ht="12.0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</row>
    <row r="894" ht="12.0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</row>
    <row r="895" ht="12.0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</row>
    <row r="896" ht="12.0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</row>
    <row r="897" ht="12.0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</row>
    <row r="898" ht="12.0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</row>
    <row r="899" ht="12.0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</row>
    <row r="900" ht="12.0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</row>
    <row r="901" ht="12.0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</row>
    <row r="902" ht="12.0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</row>
    <row r="903" ht="12.0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</row>
    <row r="904" ht="12.0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</row>
    <row r="905" ht="12.0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</row>
    <row r="906" ht="12.0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</row>
    <row r="907" ht="12.0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</row>
    <row r="908" ht="12.0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</row>
    <row r="909" ht="12.0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</row>
    <row r="910" ht="12.0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</row>
    <row r="911" ht="12.0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</row>
    <row r="912" ht="12.0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</row>
    <row r="913" ht="12.0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</row>
    <row r="914" ht="12.0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</row>
    <row r="915" ht="12.0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</row>
    <row r="916" ht="12.0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</row>
    <row r="917" ht="12.0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</row>
    <row r="918" ht="12.0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</row>
    <row r="919" ht="12.0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</row>
    <row r="920" ht="12.0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</row>
    <row r="921" ht="12.0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</row>
    <row r="922" ht="12.0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</row>
    <row r="923" ht="12.0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</row>
    <row r="924" ht="12.0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</row>
    <row r="925" ht="12.0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</row>
    <row r="926" ht="12.0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</row>
    <row r="927" ht="12.0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</row>
    <row r="928" ht="12.0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</row>
    <row r="929" ht="12.0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</row>
    <row r="930" ht="12.0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</row>
    <row r="931" ht="12.0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</row>
    <row r="932" ht="12.0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</row>
    <row r="933" ht="12.0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</row>
    <row r="934" ht="12.0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</row>
    <row r="935" ht="12.0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</row>
    <row r="936" ht="12.0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</row>
    <row r="937" ht="12.0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</row>
    <row r="938" ht="12.0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</row>
    <row r="939" ht="12.0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</row>
    <row r="940" ht="12.0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</row>
    <row r="941" ht="12.0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</row>
    <row r="942" ht="12.0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</row>
    <row r="943" ht="12.0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</row>
    <row r="944" ht="12.0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</row>
    <row r="945" ht="12.0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</row>
    <row r="946" ht="12.0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</row>
    <row r="947" ht="12.0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</row>
    <row r="948" ht="12.0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</row>
    <row r="949" ht="12.0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</row>
    <row r="950" ht="12.0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</row>
    <row r="951" ht="12.0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</row>
    <row r="952" ht="12.0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</row>
    <row r="953" ht="12.0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</row>
    <row r="954" ht="12.0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</row>
    <row r="955" ht="12.0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</row>
    <row r="956" ht="12.0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</row>
    <row r="957" ht="12.0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</row>
    <row r="958" ht="12.0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</row>
    <row r="959" ht="12.0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</row>
    <row r="960" ht="12.0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</row>
    <row r="961" ht="12.0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</row>
    <row r="962" ht="12.0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</row>
    <row r="963" ht="12.0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</row>
    <row r="964" ht="12.0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</row>
    <row r="965" ht="12.0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</row>
    <row r="966" ht="12.0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</row>
    <row r="967" ht="12.0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</row>
    <row r="968" ht="12.0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</row>
    <row r="969" ht="12.0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</row>
    <row r="970" ht="12.0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</row>
    <row r="971" ht="12.0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</row>
    <row r="972" ht="12.0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</row>
    <row r="973" ht="12.0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</row>
    <row r="974" ht="12.0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</row>
    <row r="975" ht="12.0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</row>
    <row r="976" ht="12.0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</row>
    <row r="977" ht="12.0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</row>
    <row r="978" ht="12.0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</row>
    <row r="979" ht="12.0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</row>
    <row r="980" ht="12.0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</row>
    <row r="981" ht="12.0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</row>
    <row r="982" ht="12.0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</row>
    <row r="983" ht="12.0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</row>
    <row r="984" ht="12.0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</row>
    <row r="985" ht="12.0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</row>
    <row r="986" ht="12.0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</row>
    <row r="987" ht="12.0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</row>
    <row r="988" ht="12.0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</row>
    <row r="989" ht="12.0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</row>
    <row r="990" ht="12.0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</row>
    <row r="991" ht="12.0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</row>
    <row r="992" ht="12.0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</row>
    <row r="993" ht="12.0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</row>
    <row r="994" ht="12.0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</row>
    <row r="995" ht="12.0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</row>
    <row r="996" ht="12.0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</row>
    <row r="997" ht="12.0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</row>
    <row r="998" ht="12.0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</row>
    <row r="999" ht="12.0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</row>
    <row r="1000" ht="12.0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</row>
  </sheetData>
  <mergeCells count="277">
    <mergeCell ref="N25:P25"/>
    <mergeCell ref="N26:P26"/>
    <mergeCell ref="N28:P28"/>
    <mergeCell ref="N30:P30"/>
    <mergeCell ref="R20:S20"/>
    <mergeCell ref="R21:S21"/>
    <mergeCell ref="R22:S22"/>
    <mergeCell ref="U22:V22"/>
    <mergeCell ref="N23:P23"/>
    <mergeCell ref="R23:S23"/>
    <mergeCell ref="U25:V25"/>
    <mergeCell ref="R31:S31"/>
    <mergeCell ref="R32:S32"/>
    <mergeCell ref="R33:S33"/>
    <mergeCell ref="R34:S34"/>
    <mergeCell ref="R35:S35"/>
    <mergeCell ref="R36:S36"/>
    <mergeCell ref="R37:S37"/>
    <mergeCell ref="R38:S38"/>
    <mergeCell ref="R24:S24"/>
    <mergeCell ref="R25:S25"/>
    <mergeCell ref="R26:S26"/>
    <mergeCell ref="R27:S27"/>
    <mergeCell ref="R28:S28"/>
    <mergeCell ref="R29:S29"/>
    <mergeCell ref="R30:S30"/>
    <mergeCell ref="U33:V33"/>
    <mergeCell ref="U34:V34"/>
    <mergeCell ref="U35:V35"/>
    <mergeCell ref="U36:V36"/>
    <mergeCell ref="U37:V37"/>
    <mergeCell ref="U38:V38"/>
    <mergeCell ref="U26:V26"/>
    <mergeCell ref="U27:V27"/>
    <mergeCell ref="U28:V28"/>
    <mergeCell ref="U29:V29"/>
    <mergeCell ref="U30:V30"/>
    <mergeCell ref="U31:V31"/>
    <mergeCell ref="U32:V32"/>
    <mergeCell ref="M9:P9"/>
    <mergeCell ref="Q9:S9"/>
    <mergeCell ref="U9:V10"/>
    <mergeCell ref="W9:Z9"/>
    <mergeCell ref="AA9:AC9"/>
    <mergeCell ref="N10:P10"/>
    <mergeCell ref="R10:S10"/>
    <mergeCell ref="X10:Z10"/>
    <mergeCell ref="AB10:AC10"/>
    <mergeCell ref="AB11:AC11"/>
    <mergeCell ref="AB12:AC12"/>
    <mergeCell ref="AB13:AC13"/>
    <mergeCell ref="AB14:AC14"/>
    <mergeCell ref="AB15:AC15"/>
    <mergeCell ref="X20:Z20"/>
    <mergeCell ref="X21:Z21"/>
    <mergeCell ref="X23:Z23"/>
    <mergeCell ref="X25:Z25"/>
    <mergeCell ref="X26:Z26"/>
    <mergeCell ref="X28:Z28"/>
    <mergeCell ref="X30:Z30"/>
    <mergeCell ref="X15:Z15"/>
    <mergeCell ref="X16:Z16"/>
    <mergeCell ref="X18:Z18"/>
    <mergeCell ref="N20:P20"/>
    <mergeCell ref="U20:V20"/>
    <mergeCell ref="N21:P21"/>
    <mergeCell ref="U21:V21"/>
    <mergeCell ref="U23:V23"/>
    <mergeCell ref="U24:V24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29:AC29"/>
    <mergeCell ref="V2:AA2"/>
    <mergeCell ref="V3:AA3"/>
    <mergeCell ref="V4:AA4"/>
    <mergeCell ref="V5:AA5"/>
    <mergeCell ref="V6:AA6"/>
    <mergeCell ref="V7:AA7"/>
    <mergeCell ref="L3:Q3"/>
    <mergeCell ref="L4:Q4"/>
    <mergeCell ref="B5:G5"/>
    <mergeCell ref="L5:Q5"/>
    <mergeCell ref="B6:G6"/>
    <mergeCell ref="L6:Q6"/>
    <mergeCell ref="A2:A7"/>
    <mergeCell ref="B2:G2"/>
    <mergeCell ref="K2:K7"/>
    <mergeCell ref="L2:Q2"/>
    <mergeCell ref="U2:U7"/>
    <mergeCell ref="B3:G3"/>
    <mergeCell ref="B4:G4"/>
    <mergeCell ref="B7:G7"/>
    <mergeCell ref="L7:Q7"/>
    <mergeCell ref="B8:I8"/>
    <mergeCell ref="A9:B10"/>
    <mergeCell ref="C9:F9"/>
    <mergeCell ref="G9:I9"/>
    <mergeCell ref="K9:L10"/>
    <mergeCell ref="H11:I11"/>
    <mergeCell ref="H12:I12"/>
    <mergeCell ref="R11:S11"/>
    <mergeCell ref="R12:S12"/>
    <mergeCell ref="R13:S13"/>
    <mergeCell ref="U13:V13"/>
    <mergeCell ref="R14:S14"/>
    <mergeCell ref="U14:V14"/>
    <mergeCell ref="D10:F10"/>
    <mergeCell ref="H10:I10"/>
    <mergeCell ref="A11:B11"/>
    <mergeCell ref="K11:L11"/>
    <mergeCell ref="U11:V11"/>
    <mergeCell ref="K12:L12"/>
    <mergeCell ref="U12:V12"/>
    <mergeCell ref="A12:B12"/>
    <mergeCell ref="A13:B13"/>
    <mergeCell ref="H13:I13"/>
    <mergeCell ref="K13:L13"/>
    <mergeCell ref="A14:B14"/>
    <mergeCell ref="H14:I14"/>
    <mergeCell ref="K14:L14"/>
    <mergeCell ref="K15:L15"/>
    <mergeCell ref="K16:L16"/>
    <mergeCell ref="K17:L17"/>
    <mergeCell ref="K18:L18"/>
    <mergeCell ref="N18:P18"/>
    <mergeCell ref="R15:S15"/>
    <mergeCell ref="R16:S16"/>
    <mergeCell ref="R17:S17"/>
    <mergeCell ref="U17:V17"/>
    <mergeCell ref="R18:S18"/>
    <mergeCell ref="U18:V18"/>
    <mergeCell ref="R19:S19"/>
    <mergeCell ref="U19:V19"/>
    <mergeCell ref="A15:B15"/>
    <mergeCell ref="H15:I15"/>
    <mergeCell ref="N15:P15"/>
    <mergeCell ref="U15:V15"/>
    <mergeCell ref="A16:B16"/>
    <mergeCell ref="H16:I16"/>
    <mergeCell ref="N16:P16"/>
    <mergeCell ref="U16:V16"/>
    <mergeCell ref="H18:I18"/>
    <mergeCell ref="H19:I19"/>
    <mergeCell ref="K19:L19"/>
    <mergeCell ref="K29:L29"/>
    <mergeCell ref="K30:L30"/>
    <mergeCell ref="K21:L21"/>
    <mergeCell ref="K22:L22"/>
    <mergeCell ref="K24:L24"/>
    <mergeCell ref="K25:L25"/>
    <mergeCell ref="K26:L26"/>
    <mergeCell ref="K27:L27"/>
    <mergeCell ref="K28:L28"/>
    <mergeCell ref="K32:L32"/>
    <mergeCell ref="K33:L33"/>
    <mergeCell ref="H28:I28"/>
    <mergeCell ref="H29:I29"/>
    <mergeCell ref="H30:I30"/>
    <mergeCell ref="H31:I31"/>
    <mergeCell ref="K31:L31"/>
    <mergeCell ref="H32:I32"/>
    <mergeCell ref="H33:I33"/>
    <mergeCell ref="H34:I34"/>
    <mergeCell ref="K34:L34"/>
    <mergeCell ref="H35:I35"/>
    <mergeCell ref="K35:L35"/>
    <mergeCell ref="H36:I36"/>
    <mergeCell ref="K36:L36"/>
    <mergeCell ref="K37:L37"/>
    <mergeCell ref="K38:L38"/>
    <mergeCell ref="H37:I37"/>
    <mergeCell ref="H38:I38"/>
    <mergeCell ref="R39:S39"/>
    <mergeCell ref="U39:V39"/>
    <mergeCell ref="R40:S40"/>
    <mergeCell ref="U40:V40"/>
    <mergeCell ref="U41:V41"/>
    <mergeCell ref="R45:S45"/>
    <mergeCell ref="U45:AC45"/>
    <mergeCell ref="R41:S41"/>
    <mergeCell ref="R42:S42"/>
    <mergeCell ref="U42:V42"/>
    <mergeCell ref="R43:S43"/>
    <mergeCell ref="U43:V43"/>
    <mergeCell ref="R44:S44"/>
    <mergeCell ref="U44:V44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30:AC30"/>
    <mergeCell ref="AB31:AC31"/>
    <mergeCell ref="AB32:AC32"/>
    <mergeCell ref="AB33:AC33"/>
    <mergeCell ref="AB34:AC34"/>
    <mergeCell ref="AB35:AC35"/>
    <mergeCell ref="AB36:AC36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D15:F15"/>
    <mergeCell ref="D16:F16"/>
    <mergeCell ref="A17:B17"/>
    <mergeCell ref="H17:I17"/>
    <mergeCell ref="A18:B18"/>
    <mergeCell ref="D18:F18"/>
    <mergeCell ref="A19:B19"/>
    <mergeCell ref="A20:B20"/>
    <mergeCell ref="D20:F20"/>
    <mergeCell ref="H20:I20"/>
    <mergeCell ref="K20:L20"/>
    <mergeCell ref="D21:F21"/>
    <mergeCell ref="H21:I21"/>
    <mergeCell ref="D23:F23"/>
    <mergeCell ref="K23:L23"/>
    <mergeCell ref="D26:F26"/>
    <mergeCell ref="D28:F28"/>
    <mergeCell ref="D30:F30"/>
    <mergeCell ref="H22:I22"/>
    <mergeCell ref="H23:I23"/>
    <mergeCell ref="H24:I24"/>
    <mergeCell ref="D25:F25"/>
    <mergeCell ref="H25:I25"/>
    <mergeCell ref="H26:I26"/>
    <mergeCell ref="H27:I27"/>
    <mergeCell ref="K39:L39"/>
    <mergeCell ref="K40:L40"/>
    <mergeCell ref="K41:L41"/>
    <mergeCell ref="K42:L42"/>
    <mergeCell ref="K43:L43"/>
    <mergeCell ref="K44:L44"/>
    <mergeCell ref="K45:L45"/>
    <mergeCell ref="A40:B40"/>
    <mergeCell ref="A41:B41"/>
    <mergeCell ref="A42:B42"/>
    <mergeCell ref="A43:B43"/>
    <mergeCell ref="A44:B44"/>
    <mergeCell ref="A45:B45"/>
    <mergeCell ref="H41:I41"/>
    <mergeCell ref="H42:I42"/>
    <mergeCell ref="H43:I43"/>
    <mergeCell ref="H44:I44"/>
    <mergeCell ref="H45:I45"/>
    <mergeCell ref="A46:I46"/>
    <mergeCell ref="A35:B35"/>
    <mergeCell ref="A36:B36"/>
    <mergeCell ref="A37:B37"/>
    <mergeCell ref="A38:B38"/>
    <mergeCell ref="A39:B39"/>
    <mergeCell ref="H39:I39"/>
    <mergeCell ref="H40:I40"/>
  </mergeCells>
  <conditionalFormatting sqref="A16:B16 A18:B18 A21:B21 A23:B23 A25:B26">
    <cfRule type="expression" dxfId="0" priority="1" stopIfTrue="1">
      <formula>AND(XFA16&gt;0,A16=0)</formula>
    </cfRule>
  </conditionalFormatting>
  <conditionalFormatting sqref="A20:B20">
    <cfRule type="expression" dxfId="0" priority="2" stopIfTrue="1">
      <formula>AND(#REF!&gt;0,A20=0)</formula>
    </cfRule>
  </conditionalFormatting>
  <conditionalFormatting sqref="C11:D13 C11:C45 D11:F14 D14 D16:F19 D21:F24 D26:F29 D31:F34 D36:F39 D41:F44 G11:I45 I11:I41 I44:I45 M11:N13 M11:M45 M30:S30 N11:P14 N14 N16:P24 N26:P29 N31:P34 N36:P39 N41:P44 Q11:S45 W11:X13 W11:W45 X11:Z14 X14 X16:Z19 X21:Z24 X26:Z29 X31:Z34 X32:Y34 X36:Z39 X41:Z44 AA11:AC45">
    <cfRule type="expression" dxfId="1" priority="3" stopIfTrue="1">
      <formula>ISERROR(C11)</formula>
    </cfRule>
  </conditionalFormatting>
  <conditionalFormatting sqref="G9:I9 Q9:S9 AA9:AC9">
    <cfRule type="cellIs" dxfId="2" priority="4" stopIfTrue="1" operator="equal">
      <formula>0</formula>
    </cfRule>
  </conditionalFormatting>
  <conditionalFormatting sqref="K16:L16 K18:L18">
    <cfRule type="expression" dxfId="0" priority="5" stopIfTrue="1">
      <formula>AND(#REF!&gt;0,K16=0)</formula>
    </cfRule>
  </conditionalFormatting>
  <conditionalFormatting sqref="K16:L16 K18:L18">
    <cfRule type="expression" dxfId="0" priority="6" stopIfTrue="1">
      <formula>AND(#REF!&gt;0,K16=0)</formula>
    </cfRule>
  </conditionalFormatting>
  <conditionalFormatting sqref="K16:L16 K18:L18">
    <cfRule type="expression" dxfId="0" priority="7" stopIfTrue="1">
      <formula>AND(#REF!&gt;0,K16=0)</formula>
    </cfRule>
  </conditionalFormatting>
  <conditionalFormatting sqref="K16:L16 K18:L18 K21:L21 K23:L23">
    <cfRule type="expression" dxfId="0" priority="8" stopIfTrue="1">
      <formula>AND(G16&gt;0,K16=0)</formula>
    </cfRule>
  </conditionalFormatting>
  <conditionalFormatting sqref="K16:L16 K18:L18 K21:L21 K23:L23">
    <cfRule type="expression" dxfId="0" priority="9" stopIfTrue="1">
      <formula>AND(G16&gt;0,K16=0)</formula>
    </cfRule>
  </conditionalFormatting>
  <conditionalFormatting sqref="K21:L21 K23:L23">
    <cfRule type="expression" dxfId="0" priority="10" stopIfTrue="1">
      <formula>AND(#REF!&gt;0,K21=0)</formula>
    </cfRule>
  </conditionalFormatting>
  <conditionalFormatting sqref="K21:L21 K23:L23">
    <cfRule type="expression" dxfId="0" priority="11" stopIfTrue="1">
      <formula>AND(#REF!&gt;0,K21=0)</formula>
    </cfRule>
  </conditionalFormatting>
  <conditionalFormatting sqref="K21:L21 K23:L23">
    <cfRule type="expression" dxfId="0" priority="12" stopIfTrue="1">
      <formula>AND(#REF!&gt;0,K21=0)</formula>
    </cfRule>
  </conditionalFormatting>
  <conditionalFormatting sqref="K21:L21">
    <cfRule type="expression" dxfId="0" priority="13" stopIfTrue="1">
      <formula>AND(G21&gt;0,K21=0)</formula>
    </cfRule>
  </conditionalFormatting>
  <conditionalFormatting sqref="K21:L21">
    <cfRule type="expression" dxfId="0" priority="14" stopIfTrue="1">
      <formula>AND(G21&gt;0,K21=0)</formula>
    </cfRule>
  </conditionalFormatting>
  <conditionalFormatting sqref="K21:L21">
    <cfRule type="expression" dxfId="0" priority="15" stopIfTrue="1">
      <formula>AND(#REF!&gt;0,K21=0)</formula>
    </cfRule>
  </conditionalFormatting>
  <conditionalFormatting sqref="K26:L26">
    <cfRule type="expression" dxfId="0" priority="16" stopIfTrue="1">
      <formula>AND(#REF!&gt;0,K26=0)</formula>
    </cfRule>
  </conditionalFormatting>
  <conditionalFormatting sqref="K28:L28">
    <cfRule type="expression" dxfId="0" priority="17" stopIfTrue="1">
      <formula>AND(G28&gt;0,K28=0)</formula>
    </cfRule>
  </conditionalFormatting>
  <conditionalFormatting sqref="U11:V11 U16:V16 U18:V18">
    <cfRule type="expression" dxfId="0" priority="18" stopIfTrue="1">
      <formula>AND(#REF!&gt;0,U11=0)</formula>
    </cfRule>
  </conditionalFormatting>
  <conditionalFormatting sqref="U11:V11 U16:V16 U18:V18">
    <cfRule type="expression" dxfId="0" priority="19" stopIfTrue="1">
      <formula>AND(#REF!&gt;0,U11=0)</formula>
    </cfRule>
  </conditionalFormatting>
  <conditionalFormatting sqref="U11:V11">
    <cfRule type="expression" dxfId="0" priority="20" stopIfTrue="1">
      <formula>AND(Q11&gt;0,U11=0)</formula>
    </cfRule>
  </conditionalFormatting>
  <conditionalFormatting sqref="U11:V11">
    <cfRule type="expression" dxfId="0" priority="21" stopIfTrue="1">
      <formula>AND(Q11&gt;0,U11=0)</formula>
    </cfRule>
  </conditionalFormatting>
  <conditionalFormatting sqref="U16:V16 U18:V18 U21:V21 U23:V23">
    <cfRule type="expression" dxfId="0" priority="22" stopIfTrue="1">
      <formula>AND(Q16&gt;0,U16=0)</formula>
    </cfRule>
  </conditionalFormatting>
  <conditionalFormatting sqref="U16:V16 U18:V18">
    <cfRule type="expression" dxfId="0" priority="23" stopIfTrue="1">
      <formula>AND(#REF!&gt;0,U16=0)</formula>
    </cfRule>
  </conditionalFormatting>
  <conditionalFormatting sqref="U16:V16 U18:V18">
    <cfRule type="expression" dxfId="0" priority="24" stopIfTrue="1">
      <formula>AND(Q16&gt;0,U16=0)</formula>
    </cfRule>
  </conditionalFormatting>
  <dataValidations>
    <dataValidation type="list" allowBlank="1" showInputMessage="1" prompt="Exercise Selection - Select the exercise based on the exercise class from the drop-down list. These exercises are listed on the MaxSheet worksheet." sqref="A11 U11 A15 K15 U15 U20 U23 K25 A25:A26 A28 K30 U30 A30:A31 A33 A35:A36 K35:K36 U35:U36 A38 K38 U38 K40 U40 A40:A41 A45">
      <formula1>INDIRECT(HLOOKUP(XFA11,SECONDARYLOOKUP,2,FALSE))</formula1>
    </dataValidation>
    <dataValidation type="list" allowBlank="1" showInputMessage="1" prompt="Notes - Use the drop-down to select a note for this exercise. To add a note to the drop-down, select the notes worksheet and add the note." sqref="H11 R11 H16 R16 AB16 H21 R21 AB21 H26 R26 AB26 H31 R31 AB31 H36 R36 AB36 H41 R41 AB41">
      <formula1>Notes</formula1>
    </dataValidation>
    <dataValidation type="list" allowBlank="1" showErrorMessage="1" sqref="H12:H15 R12:R15 AB11:AB15 H17:H20 R17:R20 AB17:AB20 H22:H25 R22:R25 AB22:AB25 H27:H30 R27:R30 AB27:AB30 H32:H35 R32:R35 AB32:AB35 H37:H40 R37:R40 AB37:AB40 AB42:AB44 H44:H45 R42:R45">
      <formula1>Notes</formula1>
    </dataValidation>
    <dataValidation type="list" allowBlank="1" showInputMessage="1" prompt="Exercise Selection - Select the exercise based on the exercise class from the drop-down list. These exercises are listed on the MaxSheet worksheet." sqref="U13 A16 K16 U16 K18 U18 A20:A21 K20:K21 U21 K23 K26 U26 U28 K31 U31 U33 K41 U41 K43 U43 K45 U45">
      <formula1>INDIRECT(HLOOKUP(#REF!,SECONDARYLOOKUP,2,FALSE))</formula1>
    </dataValidation>
  </dataValidations>
  <hyperlinks>
    <hyperlink r:id="rId1" ref="E11"/>
    <hyperlink r:id="rId2" ref="O11"/>
    <hyperlink r:id="rId3" ref="Y11"/>
  </hyperlinks>
  <printOptions/>
  <pageMargins bottom="0.25" footer="0.0" header="0.0" left="0.45" right="0.2" top="0.25"/>
  <pageSetup orientation="landscape"/>
  <drawing r:id="rId4"/>
</worksheet>
</file>